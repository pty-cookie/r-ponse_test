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égende" sheetId="1" state="visible" r:id="rId3"/>
    <sheet name="Cas de test" sheetId="2" state="visible" r:id="rId4"/>
    <sheet name="Synthèse" sheetId="3" state="visible" r:id="rId5"/>
    <sheet name="Couverture risques" sheetId="4" state="visible" r:id="rId6"/>
  </sheets>
  <definedNames>
    <definedName function="false" hidden="true" localSheetId="1" name="_xlnm._FilterDatabase" vbProcedure="false">'Cas de test'!$A$1:$P$25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<sst xmlns="http://schemas.openxmlformats.org/spreadsheetml/2006/main" count="445" uniqueCount="330">
  <si>
    <t xml:space="preserve">Cas de test QuickOrder V3.1 : mode d'emploi</t>
  </si>
  <si>
    <t xml:space="preserve">Rôle du fichier</t>
  </si>
  <si>
    <t xml:space="preserve">24 cas de test : 6 nominaux, 6 limites, 6 erreurs, 6 règles métier. Les colonnes A à K sont rédigées. Les colonnes L à P sont à remplir pendant l'exécution.</t>
  </si>
  <si>
    <t xml:space="preserve">Colonnes à remplir</t>
  </si>
  <si>
    <t xml:space="preserve">L (Résultat obtenu), M (Statut), N (Preuve), O (Bug lié), P (Exécuté par / date). Elles sont en jaune avec une police bleue dans l'onglet Cas de test.</t>
  </si>
  <si>
    <t xml:space="preserve">Résultat obtenu</t>
  </si>
  <si>
    <t xml:space="preserve">Ce qui a été réellement constaté : messages, montants exacts, codes HTTP. Pas d'interprétation, pas de copier-coller du résultat attendu.</t>
  </si>
  <si>
    <t xml:space="preserve">Statut</t>
  </si>
  <si>
    <t xml:space="preserve">Pass : conforme à l'attendu. Fail : différent de l'attendu, un bug est à rédiger. Blocked : test impossible, indiquer la cause dans Résultat obtenu. Skipped : non exécuté volontairement, indiquer la raison. Laisser vide tant que le cas n'est pas passé.</t>
  </si>
  <si>
    <t xml:space="preserve">Preuve</t>
  </si>
  <si>
    <t xml:space="preserve">Chemin du fichier dans evidence/, par exemple evidence/TC-07_ui_01.png ou evidence/TC-14_api_01.txt. Plusieurs preuves : les séparer par une virgule.</t>
  </si>
  <si>
    <t xml:space="preserve">Bug lié</t>
  </si>
  <si>
    <t xml:space="preserve">Identifiant du bug rédigé dans bug-reports/, par exemple BUG-03. Obligatoire pour tout Fail. Un bug peut être lié à plusieurs cas.</t>
  </si>
  <si>
    <t xml:space="preserve">Avant chaque série</t>
  </si>
  <si>
    <t xml:space="preserve">Remettre la base à l'état initial (python seed.py, ou docker compose down -v puis relance). Plusieurs cas modifient le stock et créent des commandes.</t>
  </si>
  <si>
    <t xml:space="preserve">Ordre conseillé</t>
  </si>
  <si>
    <t xml:space="preserve">TC-14 et TC-03 en premier (identité de l'API), puis TC-12 et TC-18 (espèces), puis le reste. Les cas qui utilisent une commande existante le précisent dans leurs préconditions.</t>
  </si>
  <si>
    <t xml:space="preserve">Onglets suivants</t>
  </si>
  <si>
    <t xml:space="preserve">Synthèse : totaux calculés. Couverture risques : lien entre les risques de risk-matrix.md et les cas.</t>
  </si>
  <si>
    <t xml:space="preserve">Exemple de remplissage</t>
  </si>
  <si>
    <t xml:space="preserve">Exemple de format, valeurs fictives. Ne pas reprendre ces valeurs : elles ne viennent d'aucune exécution.</t>
  </si>
  <si>
    <t xml:space="preserve">Total affiché : 29,99 €. Message « Commande confirmée ». Commande #9 visible dans Mes commandes.</t>
  </si>
  <si>
    <t xml:space="preserve">Fail</t>
  </si>
  <si>
    <t xml:space="preserve">evidence/TC-01_ui_01.png, evidence/TC-01_ui_02.png</t>
  </si>
  <si>
    <t xml:space="preserve">BUG-07</t>
  </si>
  <si>
    <t xml:space="preserve">Exécuté par / date</t>
  </si>
  <si>
    <t xml:space="preserve">Prénom, 14/10/2026</t>
  </si>
  <si>
    <t xml:space="preserve">ID</t>
  </si>
  <si>
    <t xml:space="preserve">Famille</t>
  </si>
  <si>
    <t xml:space="preserve">Parcours</t>
  </si>
  <si>
    <t xml:space="preserve">Risque(s)</t>
  </si>
  <si>
    <t xml:space="preserve">Interface</t>
  </si>
  <si>
    <t xml:space="preserve">Titre</t>
  </si>
  <si>
    <t xml:space="preserve">Objectif</t>
  </si>
  <si>
    <t xml:space="preserve">Préconditions</t>
  </si>
  <si>
    <t xml:space="preserve">Données</t>
  </si>
  <si>
    <t xml:space="preserve">Étapes</t>
  </si>
  <si>
    <t xml:space="preserve">Résultat attendu</t>
  </si>
  <si>
    <t xml:space="preserve">TC-01</t>
  </si>
  <si>
    <t xml:space="preserve">Nominal</t>
  </si>
  <si>
    <t xml:space="preserve">P1, P2</t>
  </si>
  <si>
    <t xml:space="preserve">R-10, R-22</t>
  </si>
  <si>
    <t xml:space="preserve">UI</t>
  </si>
  <si>
    <t xml:space="preserve">Commander et payer par carte</t>
  </si>
  <si>
    <t xml:space="preserve">Vérifier le parcours de commande complet d'un client connecté, du menu à la confirmation.</t>
  </si>
  <si>
    <t xml:space="preserve">Base à l'état initial.
Alice connectée.
Panier vide.</t>
  </si>
  <si>
    <t xml:space="preserve">Alice (alice@example.com).
Burger Factory : 2 × Classic Burger (11,90 €) et 1 × Frites maison (3,50 €).
Adresse par défaut, paiement par carte.</t>
  </si>
  <si>
    <t xml:space="preserve">1. Ouvrir Burger Factory depuis la liste des restaurants.
2. Ajouter 2 Classic Burger, puis 1 Frites maison.
3. Ouvrir le panier, passer les frites à 2, lire le total, puis les remettre à 1 et cliquer sur Mettre à jour.
4. Cliquer sur Passer commande.
5. Vérifier l'adresse proposée, choisir Carte bancaire, confirmer.
6. Ouvrir Mes commandes, puis le détail de la nouvelle commande.</t>
  </si>
  <si>
    <t xml:space="preserve">Panier : sous-total 27,30 €, livraison 2,99 €, total 30,29 €. Le total suit la modification de quantité de l'étape 3.
Message de confirmation. Commande au statut confirmed, paiement paid par carte, total 30,29 €.
Panier vidé. Commande visible dans Mes commandes avec les bons articles et la bonne adresse.</t>
  </si>
  <si>
    <t xml:space="preserve">TC-02</t>
  </si>
  <si>
    <t xml:space="preserve">P3</t>
  </si>
  <si>
    <t xml:space="preserve">R-09, R-10</t>
  </si>
  <si>
    <t xml:space="preserve">Appliquer un coupon valide au checkout</t>
  </si>
  <si>
    <t xml:space="preserve">Vérifier qu'un coupon valide réduit le total et que le montant se retrouve identique dans la commande.</t>
  </si>
  <si>
    <t xml:space="preserve">Alice connectée.
Panier : 2 Classic Burger et 1 Frites maison (sous-total 27,30 €).</t>
  </si>
  <si>
    <t xml:space="preserve">Coupon WELCOME10, paiement par carte.</t>
  </si>
  <si>
    <t xml:space="preserve">1. Cliquer sur Passer commande.
2. Saisir WELCOME10 dans le champ Coupon, cliquer sur Appliquer.
3. Lire le récapitulatif (sous-total, livraison, réduction, total).
4. Confirmer le paiement par carte.
5. Comparer le détail de la commande avec le récapitulatif de l'étape 3.</t>
  </si>
  <si>
    <t xml:space="preserve">Réduction de 2,73 € (10 % de 27,30 €). Total 27,56 €.
Le détail de la commande reprend les mêmes montants : sous-total 27,30 €, livraison 2,99 €, réduction 2,73 €, total 27,56 €.</t>
  </si>
  <si>
    <t xml:space="preserve">TC-03</t>
  </si>
  <si>
    <t xml:space="preserve">P4</t>
  </si>
  <si>
    <t xml:space="preserve">R-01, R-19, R-20</t>
  </si>
  <si>
    <t xml:space="preserve">API</t>
  </si>
  <si>
    <t xml:space="preserve">Créer une commande par l'API</t>
  </si>
  <si>
    <t xml:space="preserve">Vérifier la création d'une commande via POST /api/orders et la cohérence de la réponse avec l'interface.</t>
  </si>
  <si>
    <t xml:space="preserve">Swagger ou curl avec l'en-tête X-API-Key: quickorder-demo-key.
Identifiant de Classic Burger relevé via GET /api/restaurants puis GET /api/restaurants/{id}/products.</t>
  </si>
  <si>
    <t xml:space="preserve">{"items":[{"product_id":&lt;id Classic Burger&gt;,"quantity":2}],"payment_method":"card"}</t>
  </si>
  <si>
    <t xml:space="preserve">1. Relever l'identifiant de Classic Burger (Burger Factory).
2. Envoyer POST /api/orders avec le corps indiqué.
3. Envoyer GET /api/orders/{id renvoyé à l'étape 2}.
4. Dans l'interface, consulter Mes commandes avec Alice puis avec Bob, et noter à qui la commande est rattachée.</t>
  </si>
  <si>
    <t xml:space="preserve">Code 201. JSON avec status confirmed, payment_status paid, subtotal 23,80, delivery_fee 2,99, total 26,79 et une ligne d'article (quantité 2, line_total 23,80).
Le GET de l'étape 3 renvoie la même commande.
La commande est rattachée à un utilisateur identifié, celui qui a effectué l'appel.</t>
  </si>
  <si>
    <t xml:space="preserve">TC-04</t>
  </si>
  <si>
    <t xml:space="preserve">P1</t>
  </si>
  <si>
    <t xml:space="preserve">R-17</t>
  </si>
  <si>
    <t xml:space="preserve">Rechercher, filtrer et trier les restaurants</t>
  </si>
  <si>
    <t xml:space="preserve">Vérifier que la recherche, la catégorie, le tri, le filtre de frais de livraison et le filtre végétarien renvoient ce que l'utilisateur demande.</t>
  </si>
  <si>
    <t xml:space="preserve">Page d'accueil, visiteur non connecté.</t>
  </si>
  <si>
    <t xml:space="preserve">Recherches : « Burger » et « salades ».
Catégorie : Japonais.
Tri : Livraison moins chère.
Filtre : Livraison max ≤ 2,50 €, puis Végétarien.</t>
  </si>
  <si>
    <t xml:space="preserve">1. Rechercher « Burger ».
2. Réinitialiser, choisir la catégorie Japonais.
3. Réinitialiser, trier par Livraison moins chère.
4. Réinitialiser, filtrer sur Livraison max ≤ 2,50 €.
5. Réinitialiser, cocher Végétarien.
6. Réinitialiser, rechercher « salades » (mot présent dans la description d'un restaurant, pas dans son nom).</t>
  </si>
  <si>
    <t xml:space="preserve">1. Burger Factory seul.
2. Tokyo Bowl et Night Sushi (ce dernier marqué FERMÉ).
3. Frais croissants, de 1,99 € à 3,49 €.
4. Uniquement les restaurants à 2,50 € ou moins : Green Kitchen (1,99 €) et Pizza Roma (2,49 €).
5. Chaque restaurant affiché propose au moins un plat végétarien disponible.
6. Green Kitchen apparaît : un utilisateur qui tape un mot de la description s'attend à retrouver le restaurant.</t>
  </si>
  <si>
    <t xml:space="preserve">TC-05</t>
  </si>
  <si>
    <t xml:space="preserve">P8</t>
  </si>
  <si>
    <t xml:space="preserve">R-13, R-21</t>
  </si>
  <si>
    <t xml:space="preserve">Créer un compte puis passer sa première commande</t>
  </si>
  <si>
    <t xml:space="preserve">Vérifier qu'un nouvel utilisateur peut s'inscrire et commander sans blocage ni incohérence, y compris sur l'adresse de livraison.</t>
  </si>
  <si>
    <t xml:space="preserve">Visiteur non connecté.
Email jamais utilisé (par exemple test.qa01@example.com).</t>
  </si>
  <si>
    <t xml:space="preserve">Nom : Test QA. Mot de passe : Password123!.
Green Kitchen : 1 × Chicken Caesar (12,50 €). Paiement par carte.</t>
  </si>
  <si>
    <t xml:space="preserve">1. Ouvrir Créer un compte et s'inscrire avec les données ci-dessus.
2. Constater l'état de connexion (nom affiché dans l'en-tête).
3. Ouvrir Green Kitchen, ajouter 1 Chicken Caesar.
4. Passer commande et lire l'adresse proposée.
5. Tenter de confirmer avec l'adresse telle qu'elle est proposée.
6. Ouvrir Mon profil et lire la liste des adresses.
7. Si besoin, ajouter une adresse complète et refaire la commande.</t>
  </si>
  <si>
    <t xml:space="preserve">Compte créé, utilisateur connecté, nom visible.
Une commande ne peut pas être confirmée avec une adresse vide ou incomplète : le client doit renseigner ou choisir une adresse complète (rue, code postal, ville).
Avec une adresse valide, la commande est confirmée pour 14,49 € (12,50 € + 1,99 € de livraison).
Le profil n'affiche pas d'adresse vide présentée comme valide.</t>
  </si>
  <si>
    <t xml:space="preserve">TC-06</t>
  </si>
  <si>
    <t xml:space="preserve">P7</t>
  </si>
  <si>
    <t xml:space="preserve">R-11</t>
  </si>
  <si>
    <t xml:space="preserve">L'administrateur fait avancer le statut d'une commande</t>
  </si>
  <si>
    <t xml:space="preserve">Vérifier que les changements de statut faits par l'administrateur sont enregistrés et visibles côté client.</t>
  </si>
  <si>
    <t xml:space="preserve">Une commande confirmée d'Alice, créée pour ce test (ne pas réutiliser celle des autres cas).
Admin connecté dans un navigateur, Alice dans une navigation privée.</t>
  </si>
  <si>
    <t xml:space="preserve">admin@quickorder.local / Admin123!
Statuts : preparing, out_for_delivery, delivered.</t>
  </si>
  <si>
    <t xml:space="preserve">1. Admin : ouvrir l'espace Admin et repérer la commande.
2. Passer la commande à preparing, cliquer sur Mettre à jour.
3. Côté Alice, recharger le détail de la commande.
4. Répéter pour out_for_delivery, puis delivered.</t>
  </si>
  <si>
    <t xml:space="preserve">Chaque changement affiche un message de confirmation et apparaît côté client au rechargement.
Le tableau de bord admin montre le statut courant de la commande.
La suite preparing, out_for_delivery, delivered est acceptée sans erreur.</t>
  </si>
  <si>
    <t xml:space="preserve">TC-07</t>
  </si>
  <si>
    <t xml:space="preserve">Limite</t>
  </si>
  <si>
    <t xml:space="preserve">P6</t>
  </si>
  <si>
    <t xml:space="preserve">R-05, R-22</t>
  </si>
  <si>
    <t xml:space="preserve">Quantité égale au stock, puis au-delà</t>
  </si>
  <si>
    <t xml:space="preserve">Vérifier que le panier et la commande respectent le stock affiché, à la borne et au-dessus.</t>
  </si>
  <si>
    <t xml:space="preserve">Alice connectée, panier vide.
Tokyo Bowl : Salmon Bowl affiché avec un stock de 2.</t>
  </si>
  <si>
    <t xml:space="preserve">Salmon Bowl (15,90 €). Quantités : 2, 3 et 5.</t>
  </si>
  <si>
    <t xml:space="preserve">1. Ouvrir Tokyo Bowl, noter le stock affiché de Salmon Bowl.
2. Ajouter 2 Salmon Bowl.
3. Dans le panier, passer la quantité à 3 et cliquer sur Mettre à jour.
4. Vider le panier. Sur la page du restaurant, saisir 5 dans le champ quantité de Salmon Bowl et ajouter.
5. Tenter de passer commande avec le panier obtenu.
6. Revenir sur la page du restaurant, relever le stock affiché.</t>
  </si>
  <si>
    <t xml:space="preserve">2 unités : acceptées.
3 et 5 unités : refusées, ou ramenées à 2, avec un message explicite. Le panier ne dépasse jamais le stock.
Aucune commande n'est confirmée pour plus que le stock. Le stock affiché ne devient jamais négatif.</t>
  </si>
  <si>
    <t xml:space="preserve">TC-08</t>
  </si>
  <si>
    <t xml:space="preserve">R-19</t>
  </si>
  <si>
    <t xml:space="preserve">Quantités extrêmes sur l'API</t>
  </si>
  <si>
    <t xml:space="preserve">Vérifier les bornes de quantité de POST /api/orders : nulle, négative, minimale, très grande.</t>
  </si>
  <si>
    <t xml:space="preserve">Clé API configurée.
Identifiant de Chicken Caesar (Green Kitchen, 12,50 €) relevé via l'API.</t>
  </si>
  <si>
    <t xml:space="preserve">{"items":[{"product_id":&lt;id Chicken Caesar&gt;,"quantity":Q}],"payment_method":"card"}
Q = 0, -1, 1, 1000.</t>
  </si>
  <si>
    <t xml:space="preserve">1. Envoyer POST /api/orders avec Q = 0.
2. Idem avec Q = -1.
3. Idem avec Q = 1.
4. Idem avec Q = 1000.
5. Relever le stock de Chicken Caesar via GET /api/products/{id} avant et après la série.</t>
  </si>
  <si>
    <t xml:space="preserve">Q = 0 et Q = -1 : code 400 avec un message clair, aucune commande créée.
Q = 1 : code 201, commande de 14,49 €.
Q = 1000 : refusée (400 ou 409), aucune commande créée.
Le stock ne baisse que pour la commande acceptée (une unité).</t>
  </si>
  <si>
    <t xml:space="preserve">TC-09</t>
  </si>
  <si>
    <t xml:space="preserve">R-06</t>
  </si>
  <si>
    <t xml:space="preserve">Minimum de commande : juste manqué, puis atteint</t>
  </si>
  <si>
    <t xml:space="preserve">Vérifier que le minimum de commande affiché par le restaurant est appliqué au moment de commander.</t>
  </si>
  <si>
    <t xml:space="preserve">Alice connectée, panier vide.
Green Kitchen affiche « minimum 12,00 € ».</t>
  </si>
  <si>
    <t xml:space="preserve">1 × Veggie Wrap (10,90 €), puis 1 × Chicken Caesar (12,50 €). Paiement par carte.</t>
  </si>
  <si>
    <t xml:space="preserve">1. Ajouter 1 Veggie Wrap au panier.
2. Passer commande, choisir Carte bancaire, confirmer.
3. Noter le résultat et vérifier dans Mes commandes si une commande a été créée.
4. Vider le panier, ajouter 1 Chicken Caesar.
5. Passer commande, confirmer.</t>
  </si>
  <si>
    <t xml:space="preserve">Avec 10,90 € (sous le minimum de 12,00 €) : commande refusée avec un message qui indique le minimum, aucune commande créée.
Avec 12,50 € : commande acceptée, total 14,49 €.</t>
  </si>
  <si>
    <t xml:space="preserve">TC-10</t>
  </si>
  <si>
    <t xml:space="preserve">R-09</t>
  </si>
  <si>
    <t xml:space="preserve">Coupon : seuil du minimum d'achat et coupon expiré</t>
  </si>
  <si>
    <t xml:space="preserve">Vérifier le comportement de POST /api/coupons/validate autour du minimum d'achat, puis avec un coupon expiré.</t>
  </si>
  <si>
    <t xml:space="preserve">Clé API configurée.
Minimum de WELCOME10 relevé en envoyant d'abord un sous-total de 1,00 (la réponse l'indique).</t>
  </si>
  <si>
    <t xml:space="preserve">WELCOME10 avec subtotal = minimum - 0,01, = minimum, = minimum + 0,01.
Coupon expiré EXPIRED10 (relevé dans les données de démonstration) avec subtotal 50.</t>
  </si>
  <si>
    <t xml:space="preserve">1. Envoyer un sous-total de 1,00 avec WELCOME10 et noter le minimum indiqué.
2. Envoyer minimum - 0,01.
3. Envoyer le minimum exact.
4. Envoyer minimum + 0,01.
5. Envoyer EXPIRED10 avec subtotal 50.</t>
  </si>
  <si>
    <t xml:space="preserve">Sous le minimum : valid false avec un message de minimum non atteint.
Au minimum et au-dessus : valid true, discount égal à 10 % du subtotal arrondi au centime.
Coupon expiré : refusé (valid false, message coupon invalide ou expiré), code HTTP conforme à la spécification OpenAPI (404).</t>
  </si>
  <si>
    <t xml:space="preserve">TC-11</t>
  </si>
  <si>
    <t xml:space="preserve">P3, P4</t>
  </si>
  <si>
    <t xml:space="preserve">R-08, R-09, R-10</t>
  </si>
  <si>
    <t xml:space="preserve">Plafond de réduction et sous-total envoyé par l'appelant</t>
  </si>
  <si>
    <t xml:space="preserve">Vérifier que la réduction d'un coupon s'arrête à son plafond, et que l'API ne se laisse pas guider par un sous-total irréaliste.</t>
  </si>
  <si>
    <t xml:space="preserve">Clé API configurée.</t>
  </si>
  <si>
    <t xml:space="preserve">WELCOME10 avec subtotal = 50, 100, 500, 9999.</t>
  </si>
  <si>
    <t xml:space="preserve">1. Envoyer POST /api/coupons/validate avec subtotal 50.
2. Idem avec 100.
3. Idem avec 500.
4. Idem avec 9999.
5. Comparer les réductions renvoyées avec 10 % du sous-total envoyé.</t>
  </si>
  <si>
    <t xml:space="preserve">La réduction croît avec le sous-total puis cesse de croître au plafond : les réponses pour 500 et 9999 sont égales au plafond, pas à 50,00 ni à 999,90.
Une remise n'est jamais accordée au-delà du plafond du coupon, quel que soit le sous-total annoncé.
Observation à noter : l'API calcule-t-elle sa réponse sur un montant qu'elle ne peut pas vérifier ? Un sous-total qui ne correspond à aucun panier réel ne doit pas permettre d'obtenir une remise exploitable à la commande.</t>
  </si>
  <si>
    <t xml:space="preserve">TC-12</t>
  </si>
  <si>
    <t xml:space="preserve">P2</t>
  </si>
  <si>
    <t xml:space="preserve">R-02</t>
  </si>
  <si>
    <t xml:space="preserve">Espèces : montant remis juste en dessous, égal, au-dessus du total</t>
  </si>
  <si>
    <t xml:space="preserve">Vérifier la règle du paiement en espèces autour du montant du total.</t>
  </si>
  <si>
    <t xml:space="preserve">Alice connectée.
Panier : 2 Classic Burger et 1 Frites maison (total 30,29 €), à reconstituer après chaque commande acceptée.</t>
  </si>
  <si>
    <t xml:space="preserve">Paiement Espèces. Montant remis : 30,28 ; 30,29 ; 50,00 ; 0.</t>
  </si>
  <si>
    <t xml:space="preserve">1. Au checkout, choisir Espèces et saisir 30,28, confirmer.
2. Saisir 30,29, confirmer.
3. Reconstituer le panier, saisir 50,00, confirmer.
4. Reconstituer le panier, saisir 0, confirmer.
5. Après chaque essai, consulter Mes commandes et le détail.</t>
  </si>
  <si>
    <t xml:space="preserve">30,28 : refusé avec un message clair, aucune commande créée.
30,29 : accepté, monnaie 0,00 €.
50,00 : accepté, monnaie 19,71 €.
0 : refusé, aucune commande créée.
Aucun montant remis inférieur au total ne donne une commande confirmée et payée.</t>
  </si>
  <si>
    <t xml:space="preserve">TC-13</t>
  </si>
  <si>
    <t xml:space="preserve">Erreur</t>
  </si>
  <si>
    <t xml:space="preserve">R-19, R-23</t>
  </si>
  <si>
    <t xml:space="preserve">Clé API absente ou incorrecte</t>
  </si>
  <si>
    <t xml:space="preserve">Vérifier le refus propre des appels API sans clé valide et la qualité du message d'erreur.</t>
  </si>
  <si>
    <t xml:space="preserve">curl ou Swagger (sans cliquer sur Authorize pour les premiers essais).</t>
  </si>
  <si>
    <t xml:space="preserve">En-tête X-API-Key absent, vide, ou valant « fausse-cle ».</t>
  </si>
  <si>
    <t xml:space="preserve">1. GET /api/restaurants sans en-tête.
2. GET /api/restaurants avec X-API-Key: fausse-cle.
3. GET /api/restaurants avec X-API-Key vide.
4. GET /api/health sans clé.
5. POST /api/orders sans clé, avec un corps valide.
6. Relever le format du corps de chaque réponse d'erreur.</t>
  </si>
  <si>
    <t xml:space="preserve">Étapes 1, 2, 3 et 5 : code 401, corps JSON lisible, sans trace technique. Aucune commande créée à l'étape 5.
Étape 4 : code 200 (la spécification indique que /health ne demande pas de clé).
Aucune page HTML d'erreur ni pile d'appels dans les réponses.</t>
  </si>
  <si>
    <t xml:space="preserve">TC-14</t>
  </si>
  <si>
    <t xml:space="preserve">P4, P5</t>
  </si>
  <si>
    <t xml:space="preserve">R-01</t>
  </si>
  <si>
    <t xml:space="preserve">API sans authentification utilisateur : lecture, création, annulation</t>
  </si>
  <si>
    <t xml:space="preserve">Vérifier qu'un appelant muni de la seule clé de démonstration, sans session ni connexion, ne peut ni lire, ni créer, ni annuler les commandes d'un client réel.</t>
  </si>
  <si>
    <t xml:space="preserve">Aucun navigateur connecté, curl sans cookie.
Une commande d'Alice existe (relever son identifiant dans l'interface connectée à Alice), ainsi qu'une commande de Bob.
La documentation indique que la clé de démonstration correspond au client Alice : le test vérifie si cela suffit pour agir sur ses données.</t>
  </si>
  <si>
    <t xml:space="preserve">En-tête X-API-Key: quickorder-demo-key, aucun cookie ni jeton.
Identifiants de commandes d'Alice et de Bob.</t>
  </si>
  <si>
    <t xml:space="preserve">1. GET /api/orders avec la clé seule.
2. GET /api/orders/{id d'une commande d'Alice}.
3. GET /api/orders/{id d'une commande de Bob}.
4. GET /api/favorites.
5. POST /api/orders avec un article valide, puis noter dans l'interface (Alice, puis Bob) à qui la commande appartient.
6. POST /api/orders/{id d'une commande d'Alice créée pour ce test}/cancel.</t>
  </si>
  <si>
    <t xml:space="preserve">Sans identité d'utilisateur vérifiée (session ou jeton lié au compte), chaque appel est refusé (401 ou 403).
Aucune commande n'est créée pour le compte d'un client ni annulée à sa place.
Les commandes et favoris d'un client ne sont jamais renvoyés à un appelant anonyme.</t>
  </si>
  <si>
    <t xml:space="preserve">TC-15</t>
  </si>
  <si>
    <t xml:space="preserve">Entrées invalides et identifiants inexistants</t>
  </si>
  <si>
    <t xml:space="preserve">Vérifier que l'API répond par des erreurs claires (4xx) et jamais par une erreur serveur ou une trace technique.</t>
  </si>
  <si>
    <t xml:space="preserve">Identifiants 99999. Corps vide, JSON invalide, payment_method « bitcoin ». Produits de deux restaurants différents.</t>
  </si>
  <si>
    <t xml:space="preserve">1. GET /api/restaurants/99999.
2. GET /api/products/99999.
3. POST /api/orders avec items vide.
4. POST /api/orders avec un corps qui n'est pas du JSON.
5. POST /api/orders avec payment_method « bitcoin ».
6. POST /api/orders avec des produits de deux restaurants.
7. POST /api/orders avec un product_id inexistant.
8. POST /api/orders/99999/cancel.</t>
  </si>
  <si>
    <t xml:space="preserve">Étapes 1, 2 et 8 : 404.
Étapes 3 à 7 : 400 avec un message explicite.
Aucune erreur 500, aucune trace technique, aucune commande créée sur l'ensemble de la série.</t>
  </si>
  <si>
    <t xml:space="preserve">TC-16</t>
  </si>
  <si>
    <t xml:space="preserve">P5, P8</t>
  </si>
  <si>
    <t xml:space="preserve">R-13, R-16</t>
  </si>
  <si>
    <t xml:space="preserve">Inscription et connexion en erreur</t>
  </si>
  <si>
    <t xml:space="preserve">Vérifier les refus à l'inscription et à la connexion, la qualité des messages et la maîtrise de la redirection après connexion.</t>
  </si>
  <si>
    <t xml:space="preserve">Visiteur non connecté.</t>
  </si>
  <si>
    <t xml:space="preserve">Mot de passe de 7 caractères. Email alice@example.com déjà utilisé. Email sans « @ ». Mauvais mot de passe. Email inconnu.
URL /login?next=https://example.org</t>
  </si>
  <si>
    <t xml:space="preserve">1. S'inscrire avec un mot de passe de 7 caractères (si le navigateur bloque, le noter, puis rejouer avec curl).
2. S'inscrire avec alice@example.com.
3. S'inscrire avec un email sans « @ » (via curl si le champ bloque).
4. Se connecter avec un bon email et un mauvais mot de passe.
5. Se connecter avec un email inconnu.
6. Ouvrir /login?next=https://example.org et se connecter avec Alice.</t>
  </si>
  <si>
    <t xml:space="preserve">Étapes 1 à 3 : message d'erreur clair, aucun compte créé.
Étapes 4 et 5 : même message, qui ne révèle pas si le compte existe.
Étape 6 : redirection vers une page du site, jamais vers example.org.</t>
  </si>
  <si>
    <t xml:space="preserve">TC-17</t>
  </si>
  <si>
    <t xml:space="preserve">P5</t>
  </si>
  <si>
    <t xml:space="preserve">R-14, R-15</t>
  </si>
  <si>
    <t xml:space="preserve">Accès interdits depuis l'interface</t>
  </si>
  <si>
    <t xml:space="preserve">Vérifier qu'un visiteur ou un client ne voit ni les pages privées, ni l'administration, ni les commandes d'un autre compte.</t>
  </si>
  <si>
    <t xml:space="preserve">Une commande d'Alice et une commande de Bob existent.
Deux navigateurs ou une navigation privée.</t>
  </si>
  <si>
    <t xml:space="preserve">URL /checkout, /orders, /profile/, /admin/, /orders/{id}.
Comptes Alice et Bob.</t>
  </si>
  <si>
    <t xml:space="preserve">1. Visiteur non connecté : ouvrir /checkout, /orders, /profile/ et /admin/.
2. Bob connecté : ouvrir /admin/.
3. Bob : ouvrir /orders/{id d'une commande d'Alice}.
4. Bob : envoyer « Commander à nouveau » sur la commande d'Alice (requête POST depuis les DevTools ou curl avec le cookie de Bob).
5. Alice : ouvrir /orders/{id d'une commande de Bob}.</t>
  </si>
  <si>
    <t xml:space="preserve">Étape 1 : redirection vers la connexion pour les pages privées, accès refusé pour /admin/.
Étape 2 : accès refusé avec message.
Étapes 3 à 5 : refus avec message, aucune donnée de l'autre client affichée, aucune action effectuée sur sa commande.</t>
  </si>
  <si>
    <t xml:space="preserve">TC-18</t>
  </si>
  <si>
    <t xml:space="preserve">UI + API</t>
  </si>
  <si>
    <t xml:space="preserve">Espèces : montants invalides ou absents</t>
  </si>
  <si>
    <t xml:space="preserve">Vérifier que le paiement en espèces refuse les montants invalides, sur l'interface comme sur l'API.</t>
  </si>
  <si>
    <t xml:space="preserve">Alice connectée pour la partie UI. Clé API pour la partie API.
Panier UI : 2 Classic Burger et 1 Frites maison (30,29 €).
Corps API : 1 × Chicken Caesar (14,49 € avec livraison).</t>
  </si>
  <si>
    <t xml:space="preserve">UI : champ vide, 1,00.
API : cash_received valant -10, "abc", 1, ou absent.</t>
  </si>
  <si>
    <t xml:space="preserve">1. UI : choisir Espèces, laisser le champ vide, confirmer.
2. UI : saisir 1,00, confirmer.
3. API : POST /api/orders payment_method cash, cash_received -10.
4. API : cash_received "abc".
5. API : cash_received 1.
6. API : payment_method cash sans cash_received.
7. Vérifier dans Mes commandes et GET /api/orders qu'aucune commande n'a été créée.</t>
  </si>
  <si>
    <t xml:space="preserve">Chaque essai est refusé avec un message clair (erreur de formulaire ou code 400).
Aucune commande n'est créée, aucune monnaie négative n'est calculée ni stockée.</t>
  </si>
  <si>
    <t xml:space="preserve">TC-19</t>
  </si>
  <si>
    <t xml:space="preserve">Règle métier</t>
  </si>
  <si>
    <t xml:space="preserve">R-04, R-20</t>
  </si>
  <si>
    <t xml:space="preserve">Un restaurant fermé n'accepte pas de commande</t>
  </si>
  <si>
    <t xml:space="preserve">Vérifier qu'aucune commande ne peut être passée à un restaurant marqué FERMÉ, par l'interface comme par l'API.</t>
  </si>
  <si>
    <t xml:space="preserve">Alice connectée.
Night Sushi affiché FERMÉ dans la liste.</t>
  </si>
  <si>
    <t xml:space="preserve">Late Sushi Box (14,00 €). Paiement par carte.</t>
  </si>
  <si>
    <t xml:space="preserve">1. Ouvrir Night Sushi, noter l'état affiché.
2. Ajouter 1 Late Sushi Box au panier.
3. Passer commande et confirmer.
4. API : POST /api/orders avec Late Sushi Box.
5. API : GET /api/restaurants et relever Night Sushi.
6. Vérifier dans Mes commandes et GET /api/orders qu'aucune commande n'existe.</t>
  </si>
  <si>
    <t xml:space="preserve">Ajout ou confirmation refusés avec un message qui explique que le restaurant est fermé.
API : refus (400 ou 409), aucune commande créée.
L'état fermé est présenté de la même façon dans l'interface et dans l'API.</t>
  </si>
  <si>
    <t xml:space="preserve">TC-20</t>
  </si>
  <si>
    <t xml:space="preserve">R-05, R-20</t>
  </si>
  <si>
    <t xml:space="preserve">Un produit hors stock ne se commande pas</t>
  </si>
  <si>
    <t xml:space="preserve">Vérifier qu'un produit au stock nul ne peut pas être commandé, sur l'interface et sur l'API.</t>
  </si>
  <si>
    <t xml:space="preserve">Alice connectée.
Burger Factory : Veggie Burger affiché HORS STOCK.</t>
  </si>
  <si>
    <t xml:space="preserve">Veggie Burger (12,90 €) avec 2 Classic Burger (pour dépasser le minimum de commande).</t>
  </si>
  <si>
    <t xml:space="preserve">1. Ouvrir Burger Factory, constater l'affichage du Veggie Burger.
2. Tenter d'ajouter 1 Veggie Burger.
3. Si l'ajout passe, ajouter 2 Classic Burger et tenter de commander.
4. API : relever l'identifiant du Veggie Burger, puis GET /api/products/{id} (stock).
5. API : POST /api/orders avec Veggie Burger × 1 et Classic Burger × 2.
6. Relever à nouveau le stock du Veggie Burger.</t>
  </si>
  <si>
    <t xml:space="preserve">Ajout refusé ou bouton désactivé, avec un message clair.
Aucune commande confirmée ne contient le produit, ni par l'interface ni par l'API (409 attendu côté API).
Le stock du produit reste à 0, jamais négatif.</t>
  </si>
  <si>
    <t xml:space="preserve">TC-21</t>
  </si>
  <si>
    <t xml:space="preserve">R-07</t>
  </si>
  <si>
    <t xml:space="preserve">L'offre annoncée correspond à la réduction appliquée</t>
  </si>
  <si>
    <t xml:space="preserve">Vérifier que la promotion affichée pour Couscous Atlas (15 %, code ATLAS15) est celle que le client obtient.</t>
  </si>
  <si>
    <t xml:space="preserve">Alice connectée.
La liste et la page de Couscous Atlas affichent l'offre ATLAS15.</t>
  </si>
  <si>
    <t xml:space="preserve">2 × Tajine Poulet Citron (15,90 €), sous-total 31,80 €. Coupon ATLAS15.</t>
  </si>
  <si>
    <t xml:space="preserve">1. Lire l'offre sur la liste des restaurants et sur la page Couscous Atlas.
2. Ajouter 2 Tajine Poulet Citron, passer commande.
3. Appliquer ATLAS15, lire la réduction et le total.
4. API : POST /api/coupons/validate avec ATLAS15 et subtotal 31.80.</t>
  </si>
  <si>
    <t xml:space="preserve">Réduction de 4,77 € (15 % de 31,80 €), total 30,02 €.
API : discount 4,77 et discount_percent 15.
Toute différence avec l'offre annoncée est un défaut, qu'il vienne du texte affiché ou du calcul.</t>
  </si>
  <si>
    <t xml:space="preserve">TC-22</t>
  </si>
  <si>
    <t xml:space="preserve">R-03, R-20</t>
  </si>
  <si>
    <t xml:space="preserve">PayPal : une seule commande, un seul paiement</t>
  </si>
  <si>
    <t xml:space="preserve">Vérifier qu'un paiement PayPal ne produit qu'une commande, par l'interface et par l'API, et que le stock baisse une seule fois.</t>
  </si>
  <si>
    <t xml:space="preserve">Alice connectée. Base à l'état initial.
Panier : 2 Classic Burger et 1 Frites maison.
Identifiants des deux produits relevés pour suivre le stock via l'API.</t>
  </si>
  <si>
    <t xml:space="preserve">Paiement PayPal. Corps API : 2 × Classic Burger, payment_method paypal.</t>
  </si>
  <si>
    <t xml:space="preserve">1. Compter les commandes d'Alice (Mes commandes et GET /api/orders), relever le stock des deux produits.
2. Passer commande avec PayPal, confirmer.
3. Compter à nouveau les commandes et noter les références de paiement.
4. API : POST /api/orders avec 2 Classic Burger et payment_method paypal.
5. Compter à nouveau, comparer les références de paiement, relever les stocks.</t>
  </si>
  <si>
    <t xml:space="preserve">Chaque validation PayPal crée une seule commande, avec une seule référence de paiement : +1 commande après l'étape 2, +1 après l'étape 4.
Le stock baisse une seule fois de la quantité commandée à chaque validation.</t>
  </si>
  <si>
    <t xml:space="preserve">TC-23</t>
  </si>
  <si>
    <t xml:space="preserve">R-12</t>
  </si>
  <si>
    <t xml:space="preserve">Annulation : statut, paiement et stock</t>
  </si>
  <si>
    <t xml:space="preserve">Vérifier les conséquences d'une annulation et les cas où elle doit être refusée.</t>
  </si>
  <si>
    <t xml:space="preserve">Alice connectée.
Commande de démonstration d'Alice au statut delivered.
Identifiant de Classic Burger pour suivre le stock via GET /api/products/{id}.</t>
  </si>
  <si>
    <t xml:space="preserve">Commande créée pour le test : 2 Classic Burger par carte. Commande delivered d'Alice.</t>
  </si>
  <si>
    <t xml:space="preserve">1. Relever le stock de Classic Burger.
2. Passer la commande de 2 Classic Burger par carte, relever le stock.
3. Ouvrir son détail et cliquer sur Annuler la commande.
4. Relever le statut de la commande, le statut de paiement et le stock.
5. Tenter d'annuler la même commande une seconde fois.
6. Tenter d'annuler la commande delivered d'Alice.
7. API : POST /api/orders/{id}/cancel sur une commande confirmée, puis sur la commande déjà annulée.</t>
  </si>
  <si>
    <t xml:space="preserve">Statut cancelled.
Statut de paiement cohérent avec l'annulation (remboursé ou annulé) : pas de « paid » sans explication.
Stock restitué à sa valeur d'avant la commande.
Seconde annulation refusée avec un message (409 côté API). Annulation d'une commande livrée refusée.</t>
  </si>
  <si>
    <t xml:space="preserve">TC-24</t>
  </si>
  <si>
    <t xml:space="preserve">Statuts : pas de retour en arrière</t>
  </si>
  <si>
    <t xml:space="preserve">Vérifier que l'administrateur ne peut pas imposer une transition de statut incohérente.</t>
  </si>
  <si>
    <t xml:space="preserve">Admin connecté.
Une commande delivered et une commande cancelled, créées pour ce test.</t>
  </si>
  <si>
    <t xml:space="preserve">Transitions testées : delivered vers confirmed, delivered vers cancelled, cancelled vers out_for_delivery.</t>
  </si>
  <si>
    <t xml:space="preserve">1. Admin : choisir la commande delivered, la passer à confirmed.
2. La repasser de delivered à cancelled.
3. Choisir la commande cancelled, la passer à out_for_delivery.
4. Après chaque essai, consulter le statut côté client.</t>
  </si>
  <si>
    <t xml:space="preserve">Les trois transitions sont refusées avec un message explicite et le statut d'origine est conservé.
Seules les transitions logiques sont acceptées : confirmed, preparing, out_for_delivery, delivered, et l'annulation avant la livraison.</t>
  </si>
  <si>
    <t xml:space="preserve">Synthèse de la campagne</t>
  </si>
  <si>
    <t xml:space="preserve">Tout est calculé à partir de la colonne Statut de l'onglet Cas de test. Rien à saisir ici.</t>
  </si>
  <si>
    <t xml:space="preserve">Total</t>
  </si>
  <si>
    <t xml:space="preserve">Pass</t>
  </si>
  <si>
    <t xml:space="preserve">Blocked</t>
  </si>
  <si>
    <t xml:space="preserve">Skipped</t>
  </si>
  <si>
    <t xml:space="preserve">Non exécuté</t>
  </si>
  <si>
    <t xml:space="preserve">Indicateurs</t>
  </si>
  <si>
    <t xml:space="preserve">Cas rédigés</t>
  </si>
  <si>
    <t xml:space="preserve">Cas exécutés (Pass + Fail)</t>
  </si>
  <si>
    <t xml:space="preserve">Taux de réussite sur les cas exécutés</t>
  </si>
  <si>
    <t xml:space="preserve">Cas non encore statués</t>
  </si>
  <si>
    <t xml:space="preserve">Cas en Fail sans bug renseigné</t>
  </si>
  <si>
    <t xml:space="preserve">Cohérence : total des familles = cas rédigés</t>
  </si>
  <si>
    <t xml:space="preserve">Les chiffres du rapport d'exécution et du récapitulatif des bugs doivent être identiques à ceux de cet onglet.</t>
  </si>
  <si>
    <t xml:space="preserve">Couverture des risques par les cas de test</t>
  </si>
  <si>
    <t xml:space="preserve">Score et niveau repris de risk-matrix.md. Le nombre de cas est calculé à partir de la colonne Risque(s) de l'onglet Cas de test.</t>
  </si>
  <si>
    <t xml:space="preserve">Risque</t>
  </si>
  <si>
    <t xml:space="preserve">Intitulé</t>
  </si>
  <si>
    <t xml:space="preserve">Score</t>
  </si>
  <si>
    <t xml:space="preserve">Niveau</t>
  </si>
  <si>
    <t xml:space="preserve">Nb de cas</t>
  </si>
  <si>
    <t xml:space="preserve">Cas de test</t>
  </si>
  <si>
    <t xml:space="preserve">Remarque</t>
  </si>
  <si>
    <t xml:space="preserve">Identité des appels API (accès sans authentification utilisateur)</t>
  </si>
  <si>
    <t xml:space="preserve">Critique</t>
  </si>
  <si>
    <t xml:space="preserve">TC-03, TC-14</t>
  </si>
  <si>
    <t xml:space="preserve">Paiement en espèces : montant remis et monnaie</t>
  </si>
  <si>
    <t xml:space="preserve">TC-12, TC-18</t>
  </si>
  <si>
    <t xml:space="preserve">R-03</t>
  </si>
  <si>
    <t xml:space="preserve">Paiement PayPal : doublon de commande ou de débit</t>
  </si>
  <si>
    <t xml:space="preserve">R-04</t>
  </si>
  <si>
    <t xml:space="preserve">Commande acceptée pour un restaurant fermé</t>
  </si>
  <si>
    <t xml:space="preserve">R-05</t>
  </si>
  <si>
    <t xml:space="preserve">Commande acceptée avec stock nul ou insuffisant</t>
  </si>
  <si>
    <t xml:space="preserve">TC-07, TC-20</t>
  </si>
  <si>
    <t xml:space="preserve">R-10</t>
  </si>
  <si>
    <t xml:space="preserve">Total faux : livraison, réduction, arrondi</t>
  </si>
  <si>
    <t xml:space="preserve">TC-01, TC-02, TC-11</t>
  </si>
  <si>
    <t xml:space="preserve">Conséquences d'une annulation (paiement, stock)</t>
  </si>
  <si>
    <t xml:space="preserve">Offre annoncée différente de la réduction appliquée</t>
  </si>
  <si>
    <t xml:space="preserve">Transitions de statut admin incohérentes</t>
  </si>
  <si>
    <t xml:space="preserve">TC-06, TC-24</t>
  </si>
  <si>
    <t xml:space="preserve">R-13</t>
  </si>
  <si>
    <t xml:space="preserve">Première commande d'un nouvel utilisateur</t>
  </si>
  <si>
    <t xml:space="preserve">TC-05, TC-16</t>
  </si>
  <si>
    <t xml:space="preserve">Minimum de commande non appliqué</t>
  </si>
  <si>
    <t xml:space="preserve">Élevé</t>
  </si>
  <si>
    <t xml:space="preserve">R-08</t>
  </si>
  <si>
    <t xml:space="preserve">Sous-total fourni par l'appelant à la validation de coupon</t>
  </si>
  <si>
    <t xml:space="preserve">Minimum, plafond ou expiration de coupon mal appliqués</t>
  </si>
  <si>
    <t xml:space="preserve">TC-02, TC-10, TC-11</t>
  </si>
  <si>
    <t xml:space="preserve">R-16</t>
  </si>
  <si>
    <t xml:space="preserve">Redirection après connexion, session</t>
  </si>
  <si>
    <t xml:space="preserve">Validation des entrées de l'API</t>
  </si>
  <si>
    <t xml:space="preserve">TC-03, TC-08, TC-13, TC-15</t>
  </si>
  <si>
    <t xml:space="preserve">R-20</t>
  </si>
  <si>
    <t xml:space="preserve">Règles différentes entre interface et API</t>
  </si>
  <si>
    <t xml:space="preserve">TC-03, TC-19, TC-20, TC-22</t>
  </si>
  <si>
    <t xml:space="preserve">R-21</t>
  </si>
  <si>
    <t xml:space="preserve">Parcours de commande difficile pour un nouvel utilisateur</t>
  </si>
  <si>
    <t xml:space="preserve">R-22</t>
  </si>
  <si>
    <t xml:space="preserve">Comportement du panier</t>
  </si>
  <si>
    <t xml:space="preserve">TC-01, TC-07</t>
  </si>
  <si>
    <t xml:space="preserve">R-23</t>
  </si>
  <si>
    <t xml:space="preserve">Erreur serveur exposant des informations techniques</t>
  </si>
  <si>
    <t xml:space="preserve">TC-13, TC-15</t>
  </si>
  <si>
    <t xml:space="preserve">R-14</t>
  </si>
  <si>
    <t xml:space="preserve">Accès à la commande d'un autre client (interface)</t>
  </si>
  <si>
    <t xml:space="preserve">R-15</t>
  </si>
  <si>
    <t xml:space="preserve">Accès à l'administration par un non-admin</t>
  </si>
  <si>
    <t xml:space="preserve">Recherche et filtres incohérents</t>
  </si>
  <si>
    <t xml:space="preserve">R-18</t>
  </si>
  <si>
    <t xml:space="preserve">Avis et favoris</t>
  </si>
  <si>
    <t xml:space="preserve">Modéré</t>
  </si>
  <si>
    <t xml:space="preserve">aucun</t>
  </si>
  <si>
    <t xml:space="preserve">Pas de cas dédié : sessions exploratoires (dépôt d'avis sans commande, affichage des avis, favoris).</t>
  </si>
  <si>
    <t xml:space="preserve">R-24</t>
  </si>
  <si>
    <t xml:space="preserve">Commander à nouveau</t>
  </si>
  <si>
    <t xml:space="preserve">Pas de cas dédié : session exploratoire (reprise d'une ancienne commande dont un produit est en rupture).</t>
  </si>
  <si>
    <t xml:space="preserve">Contrôles</t>
  </si>
  <si>
    <t xml:space="preserve">Risques de niveau Critique sans aucun cas</t>
  </si>
  <si>
    <t xml:space="preserve">Risques de niveau Élevé sans aucun cas</t>
  </si>
  <si>
    <t xml:space="preserve">Cas de test sans risque renseigné</t>
  </si>
  <si>
    <t xml:space="preserve">Attendu : 0 pour les trois contrôles. Les deux risques modérés sans cas sont couverts en exploration.</t>
  </si>
</sst>
</file>

<file path=xl/styles.xml><?xml version="1.0" encoding="utf-8"?>
<styleSheet xmlns="http://schemas.openxmlformats.org/spreadsheetml/2006/main">
  <numFmts count="3">
    <numFmt numFmtId="164" formatCode="General"/>
    <numFmt numFmtId="165" formatCode="General"/>
    <numFmt numFmtId="166" formatCode="0.0%"/>
  </numFmts>
  <fonts count="10">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b val="true"/>
      <sz val="10"/>
      <name val="Arial"/>
      <family val="0"/>
      <charset val="1"/>
    </font>
    <font>
      <sz val="10"/>
      <name val="Arial"/>
      <family val="0"/>
      <charset val="1"/>
    </font>
    <font>
      <i val="true"/>
      <sz val="10"/>
      <color rgb="FF555555"/>
      <name val="Arial"/>
      <family val="0"/>
      <charset val="1"/>
    </font>
    <font>
      <sz val="10"/>
      <color rgb="FF0000FF"/>
      <name val="Arial"/>
      <family val="0"/>
      <charset val="1"/>
    </font>
    <font>
      <b val="true"/>
      <sz val="10"/>
      <color rgb="FFFFFFFF"/>
      <name val="Arial"/>
      <family val="0"/>
      <charset val="1"/>
    </font>
  </fonts>
  <fills count="6">
    <fill>
      <patternFill patternType="none"/>
    </fill>
    <fill>
      <patternFill patternType="gray125"/>
    </fill>
    <fill>
      <patternFill patternType="solid">
        <fgColor rgb="FFF2F2F2"/>
        <bgColor rgb="FFFFFFFF"/>
      </patternFill>
    </fill>
    <fill>
      <patternFill patternType="solid">
        <fgColor rgb="FFFFF2CC"/>
        <bgColor rgb="FFF2F2F2"/>
      </patternFill>
    </fill>
    <fill>
      <patternFill patternType="solid">
        <fgColor rgb="FF1F3864"/>
        <bgColor rgb="FF333333"/>
      </patternFill>
    </fill>
    <fill>
      <patternFill patternType="solid">
        <fgColor rgb="FFBF8F00"/>
        <bgColor rgb="FF8080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2"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5" fillId="2" borderId="1" xfId="0" applyFont="true" applyBorder="true" applyAlignment="false" applyProtection="false">
      <alignment horizontal="general" vertical="bottom" textRotation="0" wrapText="fals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9" fillId="4" borderId="1" xfId="0" applyFont="true" applyBorder="true" applyAlignment="true" applyProtection="false">
      <alignment horizontal="center" vertical="center" textRotation="0" wrapText="true" indent="0" shrinkToFit="false"/>
      <protection locked="true" hidden="false"/>
    </xf>
    <xf numFmtId="164" fontId="9" fillId="5"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center" vertical="top" textRotation="0" wrapText="true" indent="0" shrinkToFit="false"/>
      <protection locked="true" hidden="false"/>
    </xf>
    <xf numFmtId="164" fontId="6" fillId="0" borderId="1" xfId="0" applyFont="true" applyBorder="true" applyAlignment="true" applyProtection="false">
      <alignment horizontal="center"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center" vertical="top" textRotation="0" wrapText="true" indent="0" shrinkToFit="false"/>
      <protection locked="true" hidden="false"/>
    </xf>
    <xf numFmtId="164" fontId="6" fillId="0" borderId="1" xfId="0" applyFont="true" applyBorder="true" applyAlignment="true" applyProtection="false">
      <alignment horizontal="left" vertical="bottom" textRotation="0" wrapText="false" indent="0" shrinkToFit="false"/>
      <protection locked="true" hidden="false"/>
    </xf>
    <xf numFmtId="165" fontId="6" fillId="0" borderId="1" xfId="0" applyFont="true" applyBorder="true" applyAlignment="true" applyProtection="false">
      <alignment horizontal="center" vertical="bottom" textRotation="0" wrapText="false" indent="0" shrinkToFit="false"/>
      <protection locked="true" hidden="false"/>
    </xf>
    <xf numFmtId="164" fontId="5" fillId="2" borderId="1" xfId="0" applyFont="true" applyBorder="true" applyAlignment="true" applyProtection="false">
      <alignment horizontal="left" vertical="bottom" textRotation="0" wrapText="false" indent="0" shrinkToFit="false"/>
      <protection locked="true" hidden="false"/>
    </xf>
    <xf numFmtId="165" fontId="5" fillId="2" borderId="1" xfId="0" applyFont="tru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5" fontId="5" fillId="0" borderId="1" xfId="0" applyFont="true" applyBorder="true" applyAlignment="true" applyProtection="false">
      <alignment horizontal="center" vertical="bottom" textRotation="0" wrapText="false" indent="0" shrinkToFit="false"/>
      <protection locked="true" hidden="false"/>
    </xf>
    <xf numFmtId="166" fontId="5" fillId="0" borderId="1" xfId="0" applyFont="tru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true" applyProtection="false">
      <alignment horizontal="left" vertical="top" textRotation="0" wrapText="tru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5" fontId="5" fillId="0" borderId="0" xfId="0" applyFont="true" applyBorder="fals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BF8F00"/>
          <bgColor rgb="FF000000"/>
        </patternFill>
      </fill>
    </dxf>
    <dxf>
      <fill>
        <patternFill patternType="solid">
          <fgColor rgb="FFFFF2CC"/>
          <bgColor rgb="FF000000"/>
        </patternFill>
      </fill>
    </dxf>
    <dxf>
      <fill>
        <patternFill patternType="solid">
          <fgColor rgb="FF0000FF"/>
          <bgColor rgb="FF000000"/>
        </patternFill>
      </fill>
    </dxf>
    <dxf>
      <fill>
        <patternFill>
          <bgColor rgb="FFC6EFCE"/>
        </patternFill>
      </fill>
    </dxf>
    <dxf>
      <fill>
        <patternFill>
          <bgColor rgb="FFFFC7CE"/>
        </patternFill>
      </fill>
    </dxf>
    <dxf>
      <fill>
        <patternFill>
          <bgColor rgb="FFFFEB9C"/>
        </patternFill>
      </fill>
    </dxf>
    <dxf>
      <fill>
        <patternFill>
          <bgColor rgb="FFD9D9D9"/>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F2F2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BF8F00"/>
      <rgbColor rgb="FFFF6600"/>
      <rgbColor rgb="FF555555"/>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00"/>
  </cols>
  <sheetData>
    <row r="1" customFormat="false" ht="17.35" hidden="false" customHeight="false" outlineLevel="0" collapsed="false">
      <c r="A1" s="1" t="s">
        <v>0</v>
      </c>
    </row>
    <row r="3" customFormat="false" ht="30" hidden="false" customHeight="true" outlineLevel="0" collapsed="false">
      <c r="A3" s="2" t="s">
        <v>1</v>
      </c>
      <c r="B3" s="3" t="s">
        <v>2</v>
      </c>
    </row>
    <row r="4" customFormat="false" ht="30" hidden="false" customHeight="true" outlineLevel="0" collapsed="false">
      <c r="A4" s="2" t="s">
        <v>3</v>
      </c>
      <c r="B4" s="3" t="s">
        <v>4</v>
      </c>
    </row>
    <row r="5" customFormat="false" ht="30" hidden="false" customHeight="true" outlineLevel="0" collapsed="false">
      <c r="A5" s="2" t="s">
        <v>5</v>
      </c>
      <c r="B5" s="3" t="s">
        <v>6</v>
      </c>
    </row>
    <row r="6" customFormat="false" ht="43.5" hidden="false" customHeight="true" outlineLevel="0" collapsed="false">
      <c r="A6" s="2" t="s">
        <v>7</v>
      </c>
      <c r="B6" s="3" t="s">
        <v>8</v>
      </c>
    </row>
    <row r="7" customFormat="false" ht="30" hidden="false" customHeight="true" outlineLevel="0" collapsed="false">
      <c r="A7" s="2" t="s">
        <v>9</v>
      </c>
      <c r="B7" s="3" t="s">
        <v>10</v>
      </c>
    </row>
    <row r="8" customFormat="false" ht="30" hidden="false" customHeight="true" outlineLevel="0" collapsed="false">
      <c r="A8" s="2" t="s">
        <v>11</v>
      </c>
      <c r="B8" s="3" t="s">
        <v>12</v>
      </c>
    </row>
    <row r="9" customFormat="false" ht="30" hidden="false" customHeight="true" outlineLevel="0" collapsed="false">
      <c r="A9" s="2" t="s">
        <v>13</v>
      </c>
      <c r="B9" s="3" t="s">
        <v>14</v>
      </c>
    </row>
    <row r="10" customFormat="false" ht="30" hidden="false" customHeight="true" outlineLevel="0" collapsed="false">
      <c r="A10" s="2" t="s">
        <v>15</v>
      </c>
      <c r="B10" s="3" t="s">
        <v>16</v>
      </c>
    </row>
    <row r="11" customFormat="false" ht="16.5" hidden="false" customHeight="true" outlineLevel="0" collapsed="false">
      <c r="A11" s="2" t="s">
        <v>17</v>
      </c>
      <c r="B11" s="3" t="s">
        <v>18</v>
      </c>
    </row>
    <row r="13" customFormat="false" ht="15" hidden="false" customHeight="false" outlineLevel="0" collapsed="false">
      <c r="A13" s="4" t="s">
        <v>19</v>
      </c>
    </row>
    <row r="14" customFormat="false" ht="15" hidden="false" customHeight="false" outlineLevel="0" collapsed="false">
      <c r="A14" s="5" t="s">
        <v>20</v>
      </c>
    </row>
    <row r="15" customFormat="false" ht="15" hidden="false" customHeight="false" outlineLevel="0" collapsed="false">
      <c r="A15" s="6" t="s">
        <v>5</v>
      </c>
      <c r="B15" s="7" t="s">
        <v>21</v>
      </c>
    </row>
    <row r="16" customFormat="false" ht="15" hidden="false" customHeight="false" outlineLevel="0" collapsed="false">
      <c r="A16" s="6" t="s">
        <v>7</v>
      </c>
      <c r="B16" s="7" t="s">
        <v>22</v>
      </c>
    </row>
    <row r="17" customFormat="false" ht="15" hidden="false" customHeight="false" outlineLevel="0" collapsed="false">
      <c r="A17" s="6" t="s">
        <v>9</v>
      </c>
      <c r="B17" s="7" t="s">
        <v>23</v>
      </c>
    </row>
    <row r="18" customFormat="false" ht="15" hidden="false" customHeight="false" outlineLevel="0" collapsed="false">
      <c r="A18" s="6" t="s">
        <v>11</v>
      </c>
      <c r="B18" s="7" t="s">
        <v>24</v>
      </c>
    </row>
    <row r="19" customFormat="false" ht="15" hidden="false" customHeight="false" outlineLevel="0" collapsed="false">
      <c r="A19" s="6" t="s">
        <v>25</v>
      </c>
      <c r="B19" s="7" t="s">
        <v>26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25"/>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6" ySplit="1" topLeftCell="G2" activePane="bottomRight" state="frozen"/>
      <selection pane="topLeft" activeCell="A1" activeCellId="0" sqref="A1"/>
      <selection pane="topRight" activeCell="G1" activeCellId="0" sqref="G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2"/>
    <col collapsed="false" customWidth="true" hidden="false" outlineLevel="0" max="3" min="3" style="0" width="10"/>
    <col collapsed="false" customWidth="true" hidden="false" outlineLevel="0" max="4" min="4" style="0" width="14"/>
    <col collapsed="false" customWidth="true" hidden="false" outlineLevel="0" max="5" min="5" style="0" width="10"/>
    <col collapsed="false" customWidth="true" hidden="false" outlineLevel="0" max="6" min="6" style="0" width="30"/>
    <col collapsed="false" customWidth="true" hidden="false" outlineLevel="0" max="9" min="7" style="0" width="36"/>
    <col collapsed="false" customWidth="true" hidden="false" outlineLevel="0" max="10" min="10" style="0" width="62"/>
    <col collapsed="false" customWidth="true" hidden="false" outlineLevel="0" max="11" min="11" style="0" width="58"/>
    <col collapsed="false" customWidth="true" hidden="false" outlineLevel="0" max="12" min="12" style="0" width="38"/>
    <col collapsed="false" customWidth="true" hidden="false" outlineLevel="0" max="13" min="13" style="0" width="12"/>
    <col collapsed="false" customWidth="true" hidden="false" outlineLevel="0" max="14" min="14" style="0" width="28"/>
    <col collapsed="false" customWidth="true" hidden="false" outlineLevel="0" max="15" min="15" style="0" width="12"/>
    <col collapsed="false" customWidth="true" hidden="false" outlineLevel="0" max="16" min="16" style="0" width="20"/>
  </cols>
  <sheetData>
    <row r="1" customFormat="false" ht="30" hidden="false" customHeight="true" outlineLevel="0" collapsed="false">
      <c r="A1" s="8" t="s">
        <v>27</v>
      </c>
      <c r="B1" s="8" t="s">
        <v>28</v>
      </c>
      <c r="C1" s="8" t="s">
        <v>29</v>
      </c>
      <c r="D1" s="8" t="s">
        <v>30</v>
      </c>
      <c r="E1" s="8" t="s">
        <v>31</v>
      </c>
      <c r="F1" s="8" t="s">
        <v>32</v>
      </c>
      <c r="G1" s="8" t="s">
        <v>33</v>
      </c>
      <c r="H1" s="8" t="s">
        <v>34</v>
      </c>
      <c r="I1" s="8" t="s">
        <v>35</v>
      </c>
      <c r="J1" s="8" t="s">
        <v>36</v>
      </c>
      <c r="K1" s="8" t="s">
        <v>37</v>
      </c>
      <c r="L1" s="9" t="s">
        <v>5</v>
      </c>
      <c r="M1" s="9" t="s">
        <v>7</v>
      </c>
      <c r="N1" s="9" t="s">
        <v>9</v>
      </c>
      <c r="O1" s="9" t="s">
        <v>11</v>
      </c>
      <c r="P1" s="9" t="s">
        <v>25</v>
      </c>
    </row>
    <row r="2" customFormat="false" ht="113.25" hidden="false" customHeight="true" outlineLevel="0" collapsed="false">
      <c r="A2" s="10" t="s">
        <v>38</v>
      </c>
      <c r="B2" s="11" t="s">
        <v>39</v>
      </c>
      <c r="C2" s="11" t="s">
        <v>40</v>
      </c>
      <c r="D2" s="3" t="s">
        <v>41</v>
      </c>
      <c r="E2" s="11" t="s">
        <v>42</v>
      </c>
      <c r="F2" s="12" t="s">
        <v>43</v>
      </c>
      <c r="G2" s="3" t="s">
        <v>44</v>
      </c>
      <c r="H2" s="3" t="s">
        <v>45</v>
      </c>
      <c r="I2" s="3" t="s">
        <v>46</v>
      </c>
      <c r="J2" s="3" t="s">
        <v>47</v>
      </c>
      <c r="K2" s="3" t="s">
        <v>48</v>
      </c>
      <c r="L2" s="7"/>
      <c r="M2" s="13"/>
      <c r="N2" s="7"/>
      <c r="O2" s="13"/>
      <c r="P2" s="7"/>
    </row>
    <row r="3" customFormat="false" ht="99.75" hidden="false" customHeight="true" outlineLevel="0" collapsed="false">
      <c r="A3" s="10" t="s">
        <v>49</v>
      </c>
      <c r="B3" s="11" t="s">
        <v>39</v>
      </c>
      <c r="C3" s="11" t="s">
        <v>50</v>
      </c>
      <c r="D3" s="3" t="s">
        <v>51</v>
      </c>
      <c r="E3" s="11" t="s">
        <v>42</v>
      </c>
      <c r="F3" s="12" t="s">
        <v>52</v>
      </c>
      <c r="G3" s="3" t="s">
        <v>53</v>
      </c>
      <c r="H3" s="3" t="s">
        <v>54</v>
      </c>
      <c r="I3" s="3" t="s">
        <v>55</v>
      </c>
      <c r="J3" s="3" t="s">
        <v>56</v>
      </c>
      <c r="K3" s="3" t="s">
        <v>57</v>
      </c>
      <c r="L3" s="7"/>
      <c r="M3" s="13"/>
      <c r="N3" s="7"/>
      <c r="O3" s="13"/>
      <c r="P3" s="7"/>
    </row>
    <row r="4" customFormat="false" ht="87" hidden="false" customHeight="true" outlineLevel="0" collapsed="false">
      <c r="A4" s="10" t="s">
        <v>58</v>
      </c>
      <c r="B4" s="11" t="s">
        <v>39</v>
      </c>
      <c r="C4" s="11" t="s">
        <v>59</v>
      </c>
      <c r="D4" s="3" t="s">
        <v>60</v>
      </c>
      <c r="E4" s="11" t="s">
        <v>61</v>
      </c>
      <c r="F4" s="12" t="s">
        <v>62</v>
      </c>
      <c r="G4" s="3" t="s">
        <v>63</v>
      </c>
      <c r="H4" s="3" t="s">
        <v>64</v>
      </c>
      <c r="I4" s="3" t="s">
        <v>65</v>
      </c>
      <c r="J4" s="3" t="s">
        <v>66</v>
      </c>
      <c r="K4" s="3" t="s">
        <v>67</v>
      </c>
      <c r="L4" s="7"/>
      <c r="M4" s="13"/>
      <c r="N4" s="7"/>
      <c r="O4" s="13"/>
      <c r="P4" s="7"/>
    </row>
    <row r="5" customFormat="false" ht="126.75" hidden="false" customHeight="true" outlineLevel="0" collapsed="false">
      <c r="A5" s="10" t="s">
        <v>68</v>
      </c>
      <c r="B5" s="11" t="s">
        <v>39</v>
      </c>
      <c r="C5" s="11" t="s">
        <v>69</v>
      </c>
      <c r="D5" s="3" t="s">
        <v>70</v>
      </c>
      <c r="E5" s="11" t="s">
        <v>42</v>
      </c>
      <c r="F5" s="12" t="s">
        <v>71</v>
      </c>
      <c r="G5" s="3" t="s">
        <v>72</v>
      </c>
      <c r="H5" s="3" t="s">
        <v>73</v>
      </c>
      <c r="I5" s="3" t="s">
        <v>74</v>
      </c>
      <c r="J5" s="3" t="s">
        <v>75</v>
      </c>
      <c r="K5" s="3" t="s">
        <v>76</v>
      </c>
      <c r="L5" s="7"/>
      <c r="M5" s="13"/>
      <c r="N5" s="7"/>
      <c r="O5" s="13"/>
      <c r="P5" s="7"/>
    </row>
    <row r="6" customFormat="false" ht="126.75" hidden="false" customHeight="true" outlineLevel="0" collapsed="false">
      <c r="A6" s="10" t="s">
        <v>77</v>
      </c>
      <c r="B6" s="11" t="s">
        <v>39</v>
      </c>
      <c r="C6" s="11" t="s">
        <v>78</v>
      </c>
      <c r="D6" s="3" t="s">
        <v>79</v>
      </c>
      <c r="E6" s="11" t="s">
        <v>42</v>
      </c>
      <c r="F6" s="12" t="s">
        <v>80</v>
      </c>
      <c r="G6" s="3" t="s">
        <v>81</v>
      </c>
      <c r="H6" s="3" t="s">
        <v>82</v>
      </c>
      <c r="I6" s="3" t="s">
        <v>83</v>
      </c>
      <c r="J6" s="3" t="s">
        <v>84</v>
      </c>
      <c r="K6" s="3" t="s">
        <v>85</v>
      </c>
      <c r="L6" s="7"/>
      <c r="M6" s="13"/>
      <c r="N6" s="7"/>
      <c r="O6" s="13"/>
      <c r="P6" s="7"/>
    </row>
    <row r="7" customFormat="false" ht="87" hidden="false" customHeight="true" outlineLevel="0" collapsed="false">
      <c r="A7" s="10" t="s">
        <v>86</v>
      </c>
      <c r="B7" s="11" t="s">
        <v>39</v>
      </c>
      <c r="C7" s="11" t="s">
        <v>87</v>
      </c>
      <c r="D7" s="3" t="s">
        <v>88</v>
      </c>
      <c r="E7" s="11" t="s">
        <v>42</v>
      </c>
      <c r="F7" s="12" t="s">
        <v>89</v>
      </c>
      <c r="G7" s="3" t="s">
        <v>90</v>
      </c>
      <c r="H7" s="3" t="s">
        <v>91</v>
      </c>
      <c r="I7" s="3" t="s">
        <v>92</v>
      </c>
      <c r="J7" s="3" t="s">
        <v>93</v>
      </c>
      <c r="K7" s="3" t="s">
        <v>94</v>
      </c>
      <c r="L7" s="7"/>
      <c r="M7" s="13"/>
      <c r="N7" s="7"/>
      <c r="O7" s="13"/>
      <c r="P7" s="7"/>
    </row>
    <row r="8" customFormat="false" ht="113.25" hidden="false" customHeight="true" outlineLevel="0" collapsed="false">
      <c r="A8" s="10" t="s">
        <v>95</v>
      </c>
      <c r="B8" s="11" t="s">
        <v>96</v>
      </c>
      <c r="C8" s="11" t="s">
        <v>97</v>
      </c>
      <c r="D8" s="3" t="s">
        <v>98</v>
      </c>
      <c r="E8" s="11" t="s">
        <v>42</v>
      </c>
      <c r="F8" s="12" t="s">
        <v>99</v>
      </c>
      <c r="G8" s="3" t="s">
        <v>100</v>
      </c>
      <c r="H8" s="3" t="s">
        <v>101</v>
      </c>
      <c r="I8" s="3" t="s">
        <v>102</v>
      </c>
      <c r="J8" s="3" t="s">
        <v>103</v>
      </c>
      <c r="K8" s="3" t="s">
        <v>104</v>
      </c>
      <c r="L8" s="7"/>
      <c r="M8" s="13"/>
      <c r="N8" s="7"/>
      <c r="O8" s="13"/>
      <c r="P8" s="7"/>
    </row>
    <row r="9" customFormat="false" ht="87" hidden="false" customHeight="true" outlineLevel="0" collapsed="false">
      <c r="A9" s="10" t="s">
        <v>105</v>
      </c>
      <c r="B9" s="11" t="s">
        <v>96</v>
      </c>
      <c r="C9" s="11" t="s">
        <v>59</v>
      </c>
      <c r="D9" s="3" t="s">
        <v>106</v>
      </c>
      <c r="E9" s="11" t="s">
        <v>61</v>
      </c>
      <c r="F9" s="12" t="s">
        <v>107</v>
      </c>
      <c r="G9" s="3" t="s">
        <v>108</v>
      </c>
      <c r="H9" s="3" t="s">
        <v>109</v>
      </c>
      <c r="I9" s="3" t="s">
        <v>110</v>
      </c>
      <c r="J9" s="3" t="s">
        <v>111</v>
      </c>
      <c r="K9" s="3" t="s">
        <v>112</v>
      </c>
      <c r="L9" s="7"/>
      <c r="M9" s="13"/>
      <c r="N9" s="7"/>
      <c r="O9" s="13"/>
      <c r="P9" s="7"/>
    </row>
    <row r="10" customFormat="false" ht="87" hidden="false" customHeight="true" outlineLevel="0" collapsed="false">
      <c r="A10" s="10" t="s">
        <v>113</v>
      </c>
      <c r="B10" s="11" t="s">
        <v>96</v>
      </c>
      <c r="C10" s="11" t="s">
        <v>97</v>
      </c>
      <c r="D10" s="3" t="s">
        <v>114</v>
      </c>
      <c r="E10" s="11" t="s">
        <v>42</v>
      </c>
      <c r="F10" s="12" t="s">
        <v>115</v>
      </c>
      <c r="G10" s="3" t="s">
        <v>116</v>
      </c>
      <c r="H10" s="3" t="s">
        <v>117</v>
      </c>
      <c r="I10" s="3" t="s">
        <v>118</v>
      </c>
      <c r="J10" s="3" t="s">
        <v>119</v>
      </c>
      <c r="K10" s="3" t="s">
        <v>120</v>
      </c>
      <c r="L10" s="7"/>
      <c r="M10" s="13"/>
      <c r="N10" s="7"/>
      <c r="O10" s="13"/>
      <c r="P10" s="7"/>
    </row>
    <row r="11" customFormat="false" ht="99.75" hidden="false" customHeight="true" outlineLevel="0" collapsed="false">
      <c r="A11" s="10" t="s">
        <v>121</v>
      </c>
      <c r="B11" s="11" t="s">
        <v>96</v>
      </c>
      <c r="C11" s="11" t="s">
        <v>50</v>
      </c>
      <c r="D11" s="3" t="s">
        <v>122</v>
      </c>
      <c r="E11" s="11" t="s">
        <v>61</v>
      </c>
      <c r="F11" s="12" t="s">
        <v>123</v>
      </c>
      <c r="G11" s="3" t="s">
        <v>124</v>
      </c>
      <c r="H11" s="3" t="s">
        <v>125</v>
      </c>
      <c r="I11" s="3" t="s">
        <v>126</v>
      </c>
      <c r="J11" s="3" t="s">
        <v>127</v>
      </c>
      <c r="K11" s="3" t="s">
        <v>128</v>
      </c>
      <c r="L11" s="7"/>
      <c r="M11" s="13"/>
      <c r="N11" s="7"/>
      <c r="O11" s="13"/>
      <c r="P11" s="7"/>
    </row>
    <row r="12" customFormat="false" ht="126.75" hidden="false" customHeight="true" outlineLevel="0" collapsed="false">
      <c r="A12" s="10" t="s">
        <v>129</v>
      </c>
      <c r="B12" s="11" t="s">
        <v>96</v>
      </c>
      <c r="C12" s="11" t="s">
        <v>130</v>
      </c>
      <c r="D12" s="3" t="s">
        <v>131</v>
      </c>
      <c r="E12" s="11" t="s">
        <v>61</v>
      </c>
      <c r="F12" s="12" t="s">
        <v>132</v>
      </c>
      <c r="G12" s="3" t="s">
        <v>133</v>
      </c>
      <c r="H12" s="3" t="s">
        <v>134</v>
      </c>
      <c r="I12" s="3" t="s">
        <v>135</v>
      </c>
      <c r="J12" s="3" t="s">
        <v>136</v>
      </c>
      <c r="K12" s="3" t="s">
        <v>137</v>
      </c>
      <c r="L12" s="7"/>
      <c r="M12" s="13"/>
      <c r="N12" s="7"/>
      <c r="O12" s="13"/>
      <c r="P12" s="7"/>
    </row>
    <row r="13" customFormat="false" ht="87" hidden="false" customHeight="true" outlineLevel="0" collapsed="false">
      <c r="A13" s="10" t="s">
        <v>138</v>
      </c>
      <c r="B13" s="11" t="s">
        <v>96</v>
      </c>
      <c r="C13" s="11" t="s">
        <v>139</v>
      </c>
      <c r="D13" s="3" t="s">
        <v>140</v>
      </c>
      <c r="E13" s="11" t="s">
        <v>42</v>
      </c>
      <c r="F13" s="12" t="s">
        <v>141</v>
      </c>
      <c r="G13" s="3" t="s">
        <v>142</v>
      </c>
      <c r="H13" s="3" t="s">
        <v>143</v>
      </c>
      <c r="I13" s="3" t="s">
        <v>144</v>
      </c>
      <c r="J13" s="3" t="s">
        <v>145</v>
      </c>
      <c r="K13" s="3" t="s">
        <v>146</v>
      </c>
      <c r="L13" s="7"/>
      <c r="M13" s="13"/>
      <c r="N13" s="7"/>
      <c r="O13" s="13"/>
      <c r="P13" s="7"/>
    </row>
    <row r="14" customFormat="false" ht="87" hidden="false" customHeight="true" outlineLevel="0" collapsed="false">
      <c r="A14" s="10" t="s">
        <v>147</v>
      </c>
      <c r="B14" s="11" t="s">
        <v>148</v>
      </c>
      <c r="C14" s="11" t="s">
        <v>59</v>
      </c>
      <c r="D14" s="3" t="s">
        <v>149</v>
      </c>
      <c r="E14" s="11" t="s">
        <v>61</v>
      </c>
      <c r="F14" s="12" t="s">
        <v>150</v>
      </c>
      <c r="G14" s="3" t="s">
        <v>151</v>
      </c>
      <c r="H14" s="3" t="s">
        <v>152</v>
      </c>
      <c r="I14" s="3" t="s">
        <v>153</v>
      </c>
      <c r="J14" s="3" t="s">
        <v>154</v>
      </c>
      <c r="K14" s="3" t="s">
        <v>155</v>
      </c>
      <c r="L14" s="7"/>
      <c r="M14" s="13"/>
      <c r="N14" s="7"/>
      <c r="O14" s="13"/>
      <c r="P14" s="7"/>
    </row>
    <row r="15" customFormat="false" ht="139.5" hidden="false" customHeight="true" outlineLevel="0" collapsed="false">
      <c r="A15" s="10" t="s">
        <v>156</v>
      </c>
      <c r="B15" s="11" t="s">
        <v>148</v>
      </c>
      <c r="C15" s="11" t="s">
        <v>157</v>
      </c>
      <c r="D15" s="3" t="s">
        <v>158</v>
      </c>
      <c r="E15" s="11" t="s">
        <v>61</v>
      </c>
      <c r="F15" s="12" t="s">
        <v>159</v>
      </c>
      <c r="G15" s="3" t="s">
        <v>160</v>
      </c>
      <c r="H15" s="3" t="s">
        <v>161</v>
      </c>
      <c r="I15" s="3" t="s">
        <v>162</v>
      </c>
      <c r="J15" s="3" t="s">
        <v>163</v>
      </c>
      <c r="K15" s="3" t="s">
        <v>164</v>
      </c>
      <c r="L15" s="7"/>
      <c r="M15" s="13"/>
      <c r="N15" s="7"/>
      <c r="O15" s="13"/>
      <c r="P15" s="7"/>
    </row>
    <row r="16" customFormat="false" ht="113.25" hidden="false" customHeight="true" outlineLevel="0" collapsed="false">
      <c r="A16" s="10" t="s">
        <v>165</v>
      </c>
      <c r="B16" s="11" t="s">
        <v>148</v>
      </c>
      <c r="C16" s="11" t="s">
        <v>59</v>
      </c>
      <c r="D16" s="3" t="s">
        <v>149</v>
      </c>
      <c r="E16" s="11" t="s">
        <v>61</v>
      </c>
      <c r="F16" s="12" t="s">
        <v>166</v>
      </c>
      <c r="G16" s="3" t="s">
        <v>167</v>
      </c>
      <c r="H16" s="3" t="s">
        <v>134</v>
      </c>
      <c r="I16" s="3" t="s">
        <v>168</v>
      </c>
      <c r="J16" s="3" t="s">
        <v>169</v>
      </c>
      <c r="K16" s="3" t="s">
        <v>170</v>
      </c>
      <c r="L16" s="7"/>
      <c r="M16" s="13"/>
      <c r="N16" s="7"/>
      <c r="O16" s="13"/>
      <c r="P16" s="7"/>
    </row>
    <row r="17" customFormat="false" ht="126.75" hidden="false" customHeight="true" outlineLevel="0" collapsed="false">
      <c r="A17" s="10" t="s">
        <v>171</v>
      </c>
      <c r="B17" s="11" t="s">
        <v>148</v>
      </c>
      <c r="C17" s="11" t="s">
        <v>172</v>
      </c>
      <c r="D17" s="3" t="s">
        <v>173</v>
      </c>
      <c r="E17" s="11" t="s">
        <v>42</v>
      </c>
      <c r="F17" s="12" t="s">
        <v>174</v>
      </c>
      <c r="G17" s="3" t="s">
        <v>175</v>
      </c>
      <c r="H17" s="3" t="s">
        <v>176</v>
      </c>
      <c r="I17" s="3" t="s">
        <v>177</v>
      </c>
      <c r="J17" s="3" t="s">
        <v>178</v>
      </c>
      <c r="K17" s="3" t="s">
        <v>179</v>
      </c>
      <c r="L17" s="7"/>
      <c r="M17" s="13"/>
      <c r="N17" s="7"/>
      <c r="O17" s="13"/>
      <c r="P17" s="7"/>
    </row>
    <row r="18" customFormat="false" ht="99.75" hidden="false" customHeight="true" outlineLevel="0" collapsed="false">
      <c r="A18" s="10" t="s">
        <v>180</v>
      </c>
      <c r="B18" s="11" t="s">
        <v>148</v>
      </c>
      <c r="C18" s="11" t="s">
        <v>181</v>
      </c>
      <c r="D18" s="3" t="s">
        <v>182</v>
      </c>
      <c r="E18" s="11" t="s">
        <v>42</v>
      </c>
      <c r="F18" s="12" t="s">
        <v>183</v>
      </c>
      <c r="G18" s="3" t="s">
        <v>184</v>
      </c>
      <c r="H18" s="3" t="s">
        <v>185</v>
      </c>
      <c r="I18" s="3" t="s">
        <v>186</v>
      </c>
      <c r="J18" s="3" t="s">
        <v>187</v>
      </c>
      <c r="K18" s="3" t="s">
        <v>188</v>
      </c>
      <c r="L18" s="7"/>
      <c r="M18" s="13"/>
      <c r="N18" s="7"/>
      <c r="O18" s="13"/>
      <c r="P18" s="7"/>
    </row>
    <row r="19" customFormat="false" ht="113.25" hidden="false" customHeight="true" outlineLevel="0" collapsed="false">
      <c r="A19" s="10" t="s">
        <v>189</v>
      </c>
      <c r="B19" s="11" t="s">
        <v>148</v>
      </c>
      <c r="C19" s="11" t="s">
        <v>139</v>
      </c>
      <c r="D19" s="3" t="s">
        <v>140</v>
      </c>
      <c r="E19" s="11" t="s">
        <v>190</v>
      </c>
      <c r="F19" s="12" t="s">
        <v>191</v>
      </c>
      <c r="G19" s="3" t="s">
        <v>192</v>
      </c>
      <c r="H19" s="3" t="s">
        <v>193</v>
      </c>
      <c r="I19" s="3" t="s">
        <v>194</v>
      </c>
      <c r="J19" s="3" t="s">
        <v>195</v>
      </c>
      <c r="K19" s="3" t="s">
        <v>196</v>
      </c>
      <c r="L19" s="7"/>
      <c r="M19" s="13"/>
      <c r="N19" s="7"/>
      <c r="O19" s="13"/>
      <c r="P19" s="7"/>
    </row>
    <row r="20" customFormat="false" ht="99.75" hidden="false" customHeight="true" outlineLevel="0" collapsed="false">
      <c r="A20" s="10" t="s">
        <v>197</v>
      </c>
      <c r="B20" s="11" t="s">
        <v>198</v>
      </c>
      <c r="C20" s="11" t="s">
        <v>97</v>
      </c>
      <c r="D20" s="3" t="s">
        <v>199</v>
      </c>
      <c r="E20" s="11" t="s">
        <v>190</v>
      </c>
      <c r="F20" s="12" t="s">
        <v>200</v>
      </c>
      <c r="G20" s="3" t="s">
        <v>201</v>
      </c>
      <c r="H20" s="3" t="s">
        <v>202</v>
      </c>
      <c r="I20" s="3" t="s">
        <v>203</v>
      </c>
      <c r="J20" s="3" t="s">
        <v>204</v>
      </c>
      <c r="K20" s="3" t="s">
        <v>205</v>
      </c>
      <c r="L20" s="7"/>
      <c r="M20" s="13"/>
      <c r="N20" s="7"/>
      <c r="O20" s="13"/>
      <c r="P20" s="7"/>
    </row>
    <row r="21" customFormat="false" ht="126.75" hidden="false" customHeight="true" outlineLevel="0" collapsed="false">
      <c r="A21" s="10" t="s">
        <v>206</v>
      </c>
      <c r="B21" s="11" t="s">
        <v>198</v>
      </c>
      <c r="C21" s="11" t="s">
        <v>97</v>
      </c>
      <c r="D21" s="3" t="s">
        <v>207</v>
      </c>
      <c r="E21" s="11" t="s">
        <v>190</v>
      </c>
      <c r="F21" s="12" t="s">
        <v>208</v>
      </c>
      <c r="G21" s="3" t="s">
        <v>209</v>
      </c>
      <c r="H21" s="3" t="s">
        <v>210</v>
      </c>
      <c r="I21" s="3" t="s">
        <v>211</v>
      </c>
      <c r="J21" s="3" t="s">
        <v>212</v>
      </c>
      <c r="K21" s="3" t="s">
        <v>213</v>
      </c>
      <c r="L21" s="7"/>
      <c r="M21" s="13"/>
      <c r="N21" s="7"/>
      <c r="O21" s="13"/>
      <c r="P21" s="7"/>
    </row>
    <row r="22" customFormat="false" ht="87" hidden="false" customHeight="true" outlineLevel="0" collapsed="false">
      <c r="A22" s="10" t="s">
        <v>214</v>
      </c>
      <c r="B22" s="11" t="s">
        <v>198</v>
      </c>
      <c r="C22" s="11" t="s">
        <v>50</v>
      </c>
      <c r="D22" s="3" t="s">
        <v>215</v>
      </c>
      <c r="E22" s="11" t="s">
        <v>190</v>
      </c>
      <c r="F22" s="12" t="s">
        <v>216</v>
      </c>
      <c r="G22" s="3" t="s">
        <v>217</v>
      </c>
      <c r="H22" s="3" t="s">
        <v>218</v>
      </c>
      <c r="I22" s="3" t="s">
        <v>219</v>
      </c>
      <c r="J22" s="3" t="s">
        <v>220</v>
      </c>
      <c r="K22" s="3" t="s">
        <v>221</v>
      </c>
      <c r="L22" s="7"/>
      <c r="M22" s="13"/>
      <c r="N22" s="7"/>
      <c r="O22" s="13"/>
      <c r="P22" s="7"/>
    </row>
    <row r="23" customFormat="false" ht="126.75" hidden="false" customHeight="true" outlineLevel="0" collapsed="false">
      <c r="A23" s="10" t="s">
        <v>222</v>
      </c>
      <c r="B23" s="11" t="s">
        <v>198</v>
      </c>
      <c r="C23" s="11" t="s">
        <v>139</v>
      </c>
      <c r="D23" s="3" t="s">
        <v>223</v>
      </c>
      <c r="E23" s="11" t="s">
        <v>190</v>
      </c>
      <c r="F23" s="12" t="s">
        <v>224</v>
      </c>
      <c r="G23" s="3" t="s">
        <v>225</v>
      </c>
      <c r="H23" s="3" t="s">
        <v>226</v>
      </c>
      <c r="I23" s="3" t="s">
        <v>227</v>
      </c>
      <c r="J23" s="3" t="s">
        <v>228</v>
      </c>
      <c r="K23" s="3" t="s">
        <v>229</v>
      </c>
      <c r="L23" s="7"/>
      <c r="M23" s="13"/>
      <c r="N23" s="7"/>
      <c r="O23" s="13"/>
      <c r="P23" s="7"/>
    </row>
    <row r="24" customFormat="false" ht="139.5" hidden="false" customHeight="true" outlineLevel="0" collapsed="false">
      <c r="A24" s="10" t="s">
        <v>230</v>
      </c>
      <c r="B24" s="11" t="s">
        <v>198</v>
      </c>
      <c r="C24" s="11" t="s">
        <v>87</v>
      </c>
      <c r="D24" s="3" t="s">
        <v>231</v>
      </c>
      <c r="E24" s="11" t="s">
        <v>190</v>
      </c>
      <c r="F24" s="12" t="s">
        <v>232</v>
      </c>
      <c r="G24" s="3" t="s">
        <v>233</v>
      </c>
      <c r="H24" s="3" t="s">
        <v>234</v>
      </c>
      <c r="I24" s="3" t="s">
        <v>235</v>
      </c>
      <c r="J24" s="3" t="s">
        <v>236</v>
      </c>
      <c r="K24" s="3" t="s">
        <v>237</v>
      </c>
      <c r="L24" s="7"/>
      <c r="M24" s="13"/>
      <c r="N24" s="7"/>
      <c r="O24" s="13"/>
      <c r="P24" s="7"/>
    </row>
    <row r="25" customFormat="false" ht="73.5" hidden="false" customHeight="true" outlineLevel="0" collapsed="false">
      <c r="A25" s="10" t="s">
        <v>238</v>
      </c>
      <c r="B25" s="11" t="s">
        <v>198</v>
      </c>
      <c r="C25" s="11" t="s">
        <v>87</v>
      </c>
      <c r="D25" s="3" t="s">
        <v>88</v>
      </c>
      <c r="E25" s="11" t="s">
        <v>42</v>
      </c>
      <c r="F25" s="12" t="s">
        <v>239</v>
      </c>
      <c r="G25" s="3" t="s">
        <v>240</v>
      </c>
      <c r="H25" s="3" t="s">
        <v>241</v>
      </c>
      <c r="I25" s="3" t="s">
        <v>242</v>
      </c>
      <c r="J25" s="3" t="s">
        <v>243</v>
      </c>
      <c r="K25" s="3" t="s">
        <v>244</v>
      </c>
      <c r="L25" s="7"/>
      <c r="M25" s="13"/>
      <c r="N25" s="7"/>
      <c r="O25" s="13"/>
      <c r="P25" s="7"/>
    </row>
  </sheetData>
  <autoFilter ref="A1:P25"/>
  <conditionalFormatting sqref="M2:M25">
    <cfRule type="expression" priority="2" aboveAverage="0" equalAverage="0" bottom="0" percent="0" rank="0" text="" dxfId="6">
      <formula>$M2="Pass"</formula>
    </cfRule>
    <cfRule type="expression" priority="3" aboveAverage="0" equalAverage="0" bottom="0" percent="0" rank="0" text="" dxfId="7">
      <formula>$M2="Fail"</formula>
    </cfRule>
    <cfRule type="expression" priority="4" aboveAverage="0" equalAverage="0" bottom="0" percent="0" rank="0" text="" dxfId="8">
      <formula>$M2="Blocked"</formula>
    </cfRule>
    <cfRule type="expression" priority="5" aboveAverage="0" equalAverage="0" bottom="0" percent="0" rank="0" text="" dxfId="9">
      <formula>$M2="Skipped"</formula>
    </cfRule>
  </conditionalFormatting>
  <dataValidations count="1">
    <dataValidation allowBlank="true" error="Choisir Pass, Fail, Blocked ou Skipped (ou laisser vide)." errorStyle="stop" errorTitle="Statut invalide" operator="between" showDropDown="false" showErrorMessage="true" showInputMessage="false" sqref="M2:M25" type="list">
      <formula1>"Pass,Fail,Blocked,Skipped"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7" min="2" style="0" width="13"/>
  </cols>
  <sheetData>
    <row r="1" customFormat="false" ht="17.35" hidden="false" customHeight="false" outlineLevel="0" collapsed="false">
      <c r="A1" s="1" t="s">
        <v>245</v>
      </c>
    </row>
    <row r="2" customFormat="false" ht="15" hidden="false" customHeight="false" outlineLevel="0" collapsed="false">
      <c r="A2" s="5" t="s">
        <v>246</v>
      </c>
    </row>
    <row r="4" customFormat="false" ht="15" hidden="false" customHeight="false" outlineLevel="0" collapsed="false">
      <c r="A4" s="8" t="s">
        <v>28</v>
      </c>
      <c r="B4" s="8" t="s">
        <v>247</v>
      </c>
      <c r="C4" s="8" t="s">
        <v>248</v>
      </c>
      <c r="D4" s="8" t="s">
        <v>22</v>
      </c>
      <c r="E4" s="8" t="s">
        <v>249</v>
      </c>
      <c r="F4" s="8" t="s">
        <v>250</v>
      </c>
      <c r="G4" s="8" t="s">
        <v>251</v>
      </c>
    </row>
    <row r="5" customFormat="false" ht="15" hidden="false" customHeight="false" outlineLevel="0" collapsed="false">
      <c r="A5" s="14" t="s">
        <v>39</v>
      </c>
      <c r="B5" s="15" t="n">
        <f aca="false">COUNTIF('Cas de test'!$B$2:$B$25,A5)</f>
        <v>6</v>
      </c>
      <c r="C5" s="15" t="n">
        <f aca="false">COUNTIFS('Cas de test'!$B$2:$B$25,$A5,'Cas de test'!$M$2:$M$25,"Pass")</f>
        <v>0</v>
      </c>
      <c r="D5" s="15" t="n">
        <f aca="false">COUNTIFS('Cas de test'!$B$2:$B$25,$A5,'Cas de test'!$M$2:$M$25,"Fail")</f>
        <v>0</v>
      </c>
      <c r="E5" s="15" t="n">
        <f aca="false">COUNTIFS('Cas de test'!$B$2:$B$25,$A5,'Cas de test'!$M$2:$M$25,"Blocked")</f>
        <v>0</v>
      </c>
      <c r="F5" s="15" t="n">
        <f aca="false">COUNTIFS('Cas de test'!$B$2:$B$25,$A5,'Cas de test'!$M$2:$M$25,"Skipped")</f>
        <v>0</v>
      </c>
      <c r="G5" s="15" t="n">
        <f aca="false">B5-SUM(C5:F5)</f>
        <v>6</v>
      </c>
    </row>
    <row r="6" customFormat="false" ht="15" hidden="false" customHeight="false" outlineLevel="0" collapsed="false">
      <c r="A6" s="14" t="s">
        <v>96</v>
      </c>
      <c r="B6" s="15" t="n">
        <f aca="false">COUNTIF('Cas de test'!$B$2:$B$25,A6)</f>
        <v>6</v>
      </c>
      <c r="C6" s="15" t="n">
        <f aca="false">COUNTIFS('Cas de test'!$B$2:$B$25,$A6,'Cas de test'!$M$2:$M$25,"Pass")</f>
        <v>0</v>
      </c>
      <c r="D6" s="15" t="n">
        <f aca="false">COUNTIFS('Cas de test'!$B$2:$B$25,$A6,'Cas de test'!$M$2:$M$25,"Fail")</f>
        <v>0</v>
      </c>
      <c r="E6" s="15" t="n">
        <f aca="false">COUNTIFS('Cas de test'!$B$2:$B$25,$A6,'Cas de test'!$M$2:$M$25,"Blocked")</f>
        <v>0</v>
      </c>
      <c r="F6" s="15" t="n">
        <f aca="false">COUNTIFS('Cas de test'!$B$2:$B$25,$A6,'Cas de test'!$M$2:$M$25,"Skipped")</f>
        <v>0</v>
      </c>
      <c r="G6" s="15" t="n">
        <f aca="false">B6-SUM(C6:F6)</f>
        <v>6</v>
      </c>
    </row>
    <row r="7" customFormat="false" ht="15" hidden="false" customHeight="false" outlineLevel="0" collapsed="false">
      <c r="A7" s="14" t="s">
        <v>148</v>
      </c>
      <c r="B7" s="15" t="n">
        <f aca="false">COUNTIF('Cas de test'!$B$2:$B$25,A7)</f>
        <v>6</v>
      </c>
      <c r="C7" s="15" t="n">
        <f aca="false">COUNTIFS('Cas de test'!$B$2:$B$25,$A7,'Cas de test'!$M$2:$M$25,"Pass")</f>
        <v>0</v>
      </c>
      <c r="D7" s="15" t="n">
        <f aca="false">COUNTIFS('Cas de test'!$B$2:$B$25,$A7,'Cas de test'!$M$2:$M$25,"Fail")</f>
        <v>0</v>
      </c>
      <c r="E7" s="15" t="n">
        <f aca="false">COUNTIFS('Cas de test'!$B$2:$B$25,$A7,'Cas de test'!$M$2:$M$25,"Blocked")</f>
        <v>0</v>
      </c>
      <c r="F7" s="15" t="n">
        <f aca="false">COUNTIFS('Cas de test'!$B$2:$B$25,$A7,'Cas de test'!$M$2:$M$25,"Skipped")</f>
        <v>0</v>
      </c>
      <c r="G7" s="15" t="n">
        <f aca="false">B7-SUM(C7:F7)</f>
        <v>6</v>
      </c>
    </row>
    <row r="8" customFormat="false" ht="15" hidden="false" customHeight="false" outlineLevel="0" collapsed="false">
      <c r="A8" s="14" t="s">
        <v>198</v>
      </c>
      <c r="B8" s="15" t="n">
        <f aca="false">COUNTIF('Cas de test'!$B$2:$B$25,A8)</f>
        <v>6</v>
      </c>
      <c r="C8" s="15" t="n">
        <f aca="false">COUNTIFS('Cas de test'!$B$2:$B$25,$A8,'Cas de test'!$M$2:$M$25,"Pass")</f>
        <v>0</v>
      </c>
      <c r="D8" s="15" t="n">
        <f aca="false">COUNTIFS('Cas de test'!$B$2:$B$25,$A8,'Cas de test'!$M$2:$M$25,"Fail")</f>
        <v>0</v>
      </c>
      <c r="E8" s="15" t="n">
        <f aca="false">COUNTIFS('Cas de test'!$B$2:$B$25,$A8,'Cas de test'!$M$2:$M$25,"Blocked")</f>
        <v>0</v>
      </c>
      <c r="F8" s="15" t="n">
        <f aca="false">COUNTIFS('Cas de test'!$B$2:$B$25,$A8,'Cas de test'!$M$2:$M$25,"Skipped")</f>
        <v>0</v>
      </c>
      <c r="G8" s="15" t="n">
        <f aca="false">B8-SUM(C8:F8)</f>
        <v>6</v>
      </c>
    </row>
    <row r="9" customFormat="false" ht="15" hidden="false" customHeight="false" outlineLevel="0" collapsed="false">
      <c r="A9" s="16" t="s">
        <v>247</v>
      </c>
      <c r="B9" s="17" t="n">
        <f aca="false">SUM(B5:B8)</f>
        <v>24</v>
      </c>
      <c r="C9" s="17" t="n">
        <f aca="false">SUM(C5:C8)</f>
        <v>0</v>
      </c>
      <c r="D9" s="17" t="n">
        <f aca="false">SUM(D5:D8)</f>
        <v>0</v>
      </c>
      <c r="E9" s="17" t="n">
        <f aca="false">SUM(E5:E8)</f>
        <v>0</v>
      </c>
      <c r="F9" s="17" t="n">
        <f aca="false">SUM(F5:F8)</f>
        <v>0</v>
      </c>
      <c r="G9" s="17" t="n">
        <f aca="false">SUM(G5:G8)</f>
        <v>24</v>
      </c>
    </row>
    <row r="11" customFormat="false" ht="15" hidden="false" customHeight="false" outlineLevel="0" collapsed="false">
      <c r="A11" s="4" t="s">
        <v>252</v>
      </c>
    </row>
    <row r="12" customFormat="false" ht="15" hidden="false" customHeight="false" outlineLevel="0" collapsed="false">
      <c r="A12" s="18" t="s">
        <v>253</v>
      </c>
      <c r="B12" s="19" t="n">
        <f aca="false">COUNTA('Cas de test'!$A$2:$A$25)</f>
        <v>24</v>
      </c>
    </row>
    <row r="13" customFormat="false" ht="15" hidden="false" customHeight="false" outlineLevel="0" collapsed="false">
      <c r="A13" s="18" t="s">
        <v>254</v>
      </c>
      <c r="B13" s="19" t="n">
        <f aca="false">C9+D9</f>
        <v>0</v>
      </c>
    </row>
    <row r="14" customFormat="false" ht="15" hidden="false" customHeight="false" outlineLevel="0" collapsed="false">
      <c r="A14" s="18" t="s">
        <v>255</v>
      </c>
      <c r="B14" s="20" t="str">
        <f aca="false">IF(B13=0,"n/a",C9/B13)</f>
        <v>n/a</v>
      </c>
    </row>
    <row r="15" customFormat="false" ht="15" hidden="false" customHeight="false" outlineLevel="0" collapsed="false">
      <c r="A15" s="18" t="s">
        <v>256</v>
      </c>
      <c r="B15" s="19" t="n">
        <f aca="false">G9</f>
        <v>24</v>
      </c>
    </row>
    <row r="16" customFormat="false" ht="15" hidden="false" customHeight="false" outlineLevel="0" collapsed="false">
      <c r="A16" s="18" t="s">
        <v>257</v>
      </c>
      <c r="B16" s="19" t="n">
        <f aca="false">COUNTIFS('Cas de test'!$M$2:$M$25,"Fail",'Cas de test'!$O$2:$O$25,"")</f>
        <v>0</v>
      </c>
    </row>
    <row r="17" customFormat="false" ht="15" hidden="false" customHeight="false" outlineLevel="0" collapsed="false">
      <c r="A17" s="18" t="s">
        <v>258</v>
      </c>
      <c r="B17" s="19" t="str">
        <f aca="false">IF(B9=B12,"OK","ÉCART")</f>
        <v>OK</v>
      </c>
    </row>
    <row r="19" customFormat="false" ht="15" hidden="false" customHeight="false" outlineLevel="0" collapsed="false">
      <c r="A19" s="5" t="s">
        <v>259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58"/>
    <col collapsed="false" customWidth="true" hidden="false" outlineLevel="0" max="3" min="3" style="0" width="8"/>
    <col collapsed="false" customWidth="true" hidden="false" outlineLevel="0" max="4" min="4" style="0" width="11"/>
    <col collapsed="false" customWidth="true" hidden="false" outlineLevel="0" max="5" min="5" style="0" width="10"/>
    <col collapsed="false" customWidth="true" hidden="false" outlineLevel="0" max="6" min="6" style="0" width="34"/>
    <col collapsed="false" customWidth="true" hidden="false" outlineLevel="0" max="7" min="7" style="0" width="70"/>
  </cols>
  <sheetData>
    <row r="1" customFormat="false" ht="17.35" hidden="false" customHeight="false" outlineLevel="0" collapsed="false">
      <c r="A1" s="1" t="s">
        <v>260</v>
      </c>
    </row>
    <row r="2" customFormat="false" ht="15" hidden="false" customHeight="false" outlineLevel="0" collapsed="false">
      <c r="A2" s="5" t="s">
        <v>261</v>
      </c>
    </row>
    <row r="4" customFormat="false" ht="15" hidden="false" customHeight="false" outlineLevel="0" collapsed="false">
      <c r="A4" s="8" t="s">
        <v>262</v>
      </c>
      <c r="B4" s="8" t="s">
        <v>263</v>
      </c>
      <c r="C4" s="8" t="s">
        <v>264</v>
      </c>
      <c r="D4" s="8" t="s">
        <v>265</v>
      </c>
      <c r="E4" s="8" t="s">
        <v>266</v>
      </c>
      <c r="F4" s="8" t="s">
        <v>267</v>
      </c>
      <c r="G4" s="8" t="s">
        <v>268</v>
      </c>
    </row>
    <row r="5" customFormat="false" ht="27.75" hidden="false" customHeight="true" outlineLevel="0" collapsed="false">
      <c r="A5" s="10" t="s">
        <v>158</v>
      </c>
      <c r="B5" s="21" t="s">
        <v>269</v>
      </c>
      <c r="C5" s="11" t="n">
        <v>9</v>
      </c>
      <c r="D5" s="11" t="s">
        <v>270</v>
      </c>
      <c r="E5" s="11" t="n">
        <f aca="false">COUNTIF('Cas de test'!$D$2:$D$25,"*"&amp;A5&amp;"*")</f>
        <v>2</v>
      </c>
      <c r="F5" s="21" t="s">
        <v>271</v>
      </c>
      <c r="G5" s="21"/>
    </row>
    <row r="6" customFormat="false" ht="15" hidden="false" customHeight="true" outlineLevel="0" collapsed="false">
      <c r="A6" s="10" t="s">
        <v>140</v>
      </c>
      <c r="B6" s="21" t="s">
        <v>272</v>
      </c>
      <c r="C6" s="11" t="n">
        <v>9</v>
      </c>
      <c r="D6" s="11" t="s">
        <v>270</v>
      </c>
      <c r="E6" s="11" t="n">
        <f aca="false">COUNTIF('Cas de test'!$D$2:$D$25,"*"&amp;A6&amp;"*")</f>
        <v>2</v>
      </c>
      <c r="F6" s="21" t="s">
        <v>273</v>
      </c>
      <c r="G6" s="21"/>
    </row>
    <row r="7" customFormat="false" ht="15" hidden="false" customHeight="true" outlineLevel="0" collapsed="false">
      <c r="A7" s="10" t="s">
        <v>274</v>
      </c>
      <c r="B7" s="21" t="s">
        <v>275</v>
      </c>
      <c r="C7" s="11" t="n">
        <v>6</v>
      </c>
      <c r="D7" s="11" t="s">
        <v>270</v>
      </c>
      <c r="E7" s="11" t="n">
        <f aca="false">COUNTIF('Cas de test'!$D$2:$D$25,"*"&amp;A7&amp;"*")</f>
        <v>1</v>
      </c>
      <c r="F7" s="21" t="s">
        <v>222</v>
      </c>
      <c r="G7" s="21"/>
    </row>
    <row r="8" customFormat="false" ht="15" hidden="false" customHeight="true" outlineLevel="0" collapsed="false">
      <c r="A8" s="10" t="s">
        <v>276</v>
      </c>
      <c r="B8" s="21" t="s">
        <v>277</v>
      </c>
      <c r="C8" s="11" t="n">
        <v>6</v>
      </c>
      <c r="D8" s="11" t="s">
        <v>270</v>
      </c>
      <c r="E8" s="11" t="n">
        <f aca="false">COUNTIF('Cas de test'!$D$2:$D$25,"*"&amp;A8&amp;"*")</f>
        <v>1</v>
      </c>
      <c r="F8" s="21" t="s">
        <v>197</v>
      </c>
      <c r="G8" s="21"/>
    </row>
    <row r="9" customFormat="false" ht="15" hidden="false" customHeight="true" outlineLevel="0" collapsed="false">
      <c r="A9" s="10" t="s">
        <v>278</v>
      </c>
      <c r="B9" s="21" t="s">
        <v>279</v>
      </c>
      <c r="C9" s="11" t="n">
        <v>6</v>
      </c>
      <c r="D9" s="11" t="s">
        <v>270</v>
      </c>
      <c r="E9" s="11" t="n">
        <f aca="false">COUNTIF('Cas de test'!$D$2:$D$25,"*"&amp;A9&amp;"*")</f>
        <v>2</v>
      </c>
      <c r="F9" s="21" t="s">
        <v>280</v>
      </c>
      <c r="G9" s="21"/>
    </row>
    <row r="10" customFormat="false" ht="15" hidden="false" customHeight="true" outlineLevel="0" collapsed="false">
      <c r="A10" s="10" t="s">
        <v>281</v>
      </c>
      <c r="B10" s="21" t="s">
        <v>282</v>
      </c>
      <c r="C10" s="11" t="n">
        <v>6</v>
      </c>
      <c r="D10" s="11" t="s">
        <v>270</v>
      </c>
      <c r="E10" s="11" t="n">
        <f aca="false">COUNTIF('Cas de test'!$D$2:$D$25,"*"&amp;A10&amp;"*")</f>
        <v>3</v>
      </c>
      <c r="F10" s="21" t="s">
        <v>283</v>
      </c>
      <c r="G10" s="21"/>
    </row>
    <row r="11" customFormat="false" ht="15" hidden="false" customHeight="true" outlineLevel="0" collapsed="false">
      <c r="A11" s="10" t="s">
        <v>231</v>
      </c>
      <c r="B11" s="21" t="s">
        <v>284</v>
      </c>
      <c r="C11" s="11" t="n">
        <v>6</v>
      </c>
      <c r="D11" s="11" t="s">
        <v>270</v>
      </c>
      <c r="E11" s="11" t="n">
        <f aca="false">COUNTIF('Cas de test'!$D$2:$D$25,"*"&amp;A11&amp;"*")</f>
        <v>1</v>
      </c>
      <c r="F11" s="21" t="s">
        <v>230</v>
      </c>
      <c r="G11" s="21"/>
    </row>
    <row r="12" customFormat="false" ht="15" hidden="false" customHeight="true" outlineLevel="0" collapsed="false">
      <c r="A12" s="10" t="s">
        <v>215</v>
      </c>
      <c r="B12" s="21" t="s">
        <v>285</v>
      </c>
      <c r="C12" s="11" t="n">
        <v>6</v>
      </c>
      <c r="D12" s="11" t="s">
        <v>270</v>
      </c>
      <c r="E12" s="11" t="n">
        <f aca="false">COUNTIF('Cas de test'!$D$2:$D$25,"*"&amp;A12&amp;"*")</f>
        <v>1</v>
      </c>
      <c r="F12" s="21" t="s">
        <v>214</v>
      </c>
      <c r="G12" s="21"/>
    </row>
    <row r="13" customFormat="false" ht="15" hidden="false" customHeight="true" outlineLevel="0" collapsed="false">
      <c r="A13" s="10" t="s">
        <v>88</v>
      </c>
      <c r="B13" s="21" t="s">
        <v>286</v>
      </c>
      <c r="C13" s="11" t="n">
        <v>6</v>
      </c>
      <c r="D13" s="11" t="s">
        <v>270</v>
      </c>
      <c r="E13" s="11" t="n">
        <f aca="false">COUNTIF('Cas de test'!$D$2:$D$25,"*"&amp;A13&amp;"*")</f>
        <v>2</v>
      </c>
      <c r="F13" s="21" t="s">
        <v>287</v>
      </c>
      <c r="G13" s="21"/>
    </row>
    <row r="14" customFormat="false" ht="15" hidden="false" customHeight="true" outlineLevel="0" collapsed="false">
      <c r="A14" s="10" t="s">
        <v>288</v>
      </c>
      <c r="B14" s="21" t="s">
        <v>289</v>
      </c>
      <c r="C14" s="11" t="n">
        <v>6</v>
      </c>
      <c r="D14" s="11" t="s">
        <v>270</v>
      </c>
      <c r="E14" s="11" t="n">
        <f aca="false">COUNTIF('Cas de test'!$D$2:$D$25,"*"&amp;A14&amp;"*")</f>
        <v>2</v>
      </c>
      <c r="F14" s="21" t="s">
        <v>290</v>
      </c>
      <c r="G14" s="21"/>
    </row>
    <row r="15" customFormat="false" ht="15" hidden="false" customHeight="true" outlineLevel="0" collapsed="false">
      <c r="A15" s="10" t="s">
        <v>114</v>
      </c>
      <c r="B15" s="21" t="s">
        <v>291</v>
      </c>
      <c r="C15" s="11" t="n">
        <v>4</v>
      </c>
      <c r="D15" s="11" t="s">
        <v>292</v>
      </c>
      <c r="E15" s="11" t="n">
        <f aca="false">COUNTIF('Cas de test'!$D$2:$D$25,"*"&amp;A15&amp;"*")</f>
        <v>1</v>
      </c>
      <c r="F15" s="21" t="s">
        <v>113</v>
      </c>
      <c r="G15" s="21"/>
    </row>
    <row r="16" customFormat="false" ht="27.75" hidden="false" customHeight="true" outlineLevel="0" collapsed="false">
      <c r="A16" s="10" t="s">
        <v>293</v>
      </c>
      <c r="B16" s="21" t="s">
        <v>294</v>
      </c>
      <c r="C16" s="11" t="n">
        <v>4</v>
      </c>
      <c r="D16" s="11" t="s">
        <v>292</v>
      </c>
      <c r="E16" s="11" t="n">
        <f aca="false">COUNTIF('Cas de test'!$D$2:$D$25,"*"&amp;A16&amp;"*")</f>
        <v>1</v>
      </c>
      <c r="F16" s="21" t="s">
        <v>129</v>
      </c>
      <c r="G16" s="21"/>
    </row>
    <row r="17" customFormat="false" ht="15" hidden="false" customHeight="true" outlineLevel="0" collapsed="false">
      <c r="A17" s="10" t="s">
        <v>122</v>
      </c>
      <c r="B17" s="21" t="s">
        <v>295</v>
      </c>
      <c r="C17" s="11" t="n">
        <v>4</v>
      </c>
      <c r="D17" s="11" t="s">
        <v>292</v>
      </c>
      <c r="E17" s="11" t="n">
        <f aca="false">COUNTIF('Cas de test'!$D$2:$D$25,"*"&amp;A17&amp;"*")</f>
        <v>3</v>
      </c>
      <c r="F17" s="21" t="s">
        <v>296</v>
      </c>
      <c r="G17" s="21"/>
    </row>
    <row r="18" customFormat="false" ht="15" hidden="false" customHeight="true" outlineLevel="0" collapsed="false">
      <c r="A18" s="10" t="s">
        <v>297</v>
      </c>
      <c r="B18" s="21" t="s">
        <v>298</v>
      </c>
      <c r="C18" s="11" t="n">
        <v>4</v>
      </c>
      <c r="D18" s="11" t="s">
        <v>292</v>
      </c>
      <c r="E18" s="11" t="n">
        <f aca="false">COUNTIF('Cas de test'!$D$2:$D$25,"*"&amp;A18&amp;"*")</f>
        <v>1</v>
      </c>
      <c r="F18" s="21" t="s">
        <v>171</v>
      </c>
      <c r="G18" s="21"/>
    </row>
    <row r="19" customFormat="false" ht="15" hidden="false" customHeight="true" outlineLevel="0" collapsed="false">
      <c r="A19" s="10" t="s">
        <v>106</v>
      </c>
      <c r="B19" s="21" t="s">
        <v>299</v>
      </c>
      <c r="C19" s="11" t="n">
        <v>4</v>
      </c>
      <c r="D19" s="11" t="s">
        <v>292</v>
      </c>
      <c r="E19" s="11" t="n">
        <f aca="false">COUNTIF('Cas de test'!$D$2:$D$25,"*"&amp;A19&amp;"*")</f>
        <v>4</v>
      </c>
      <c r="F19" s="21" t="s">
        <v>300</v>
      </c>
      <c r="G19" s="21"/>
    </row>
    <row r="20" customFormat="false" ht="15" hidden="false" customHeight="true" outlineLevel="0" collapsed="false">
      <c r="A20" s="10" t="s">
        <v>301</v>
      </c>
      <c r="B20" s="21" t="s">
        <v>302</v>
      </c>
      <c r="C20" s="11" t="n">
        <v>4</v>
      </c>
      <c r="D20" s="11" t="s">
        <v>292</v>
      </c>
      <c r="E20" s="11" t="n">
        <f aca="false">COUNTIF('Cas de test'!$D$2:$D$25,"*"&amp;A20&amp;"*")</f>
        <v>4</v>
      </c>
      <c r="F20" s="21" t="s">
        <v>303</v>
      </c>
      <c r="G20" s="21"/>
    </row>
    <row r="21" customFormat="false" ht="27.75" hidden="false" customHeight="true" outlineLevel="0" collapsed="false">
      <c r="A21" s="10" t="s">
        <v>304</v>
      </c>
      <c r="B21" s="21" t="s">
        <v>305</v>
      </c>
      <c r="C21" s="11" t="n">
        <v>4</v>
      </c>
      <c r="D21" s="11" t="s">
        <v>292</v>
      </c>
      <c r="E21" s="11" t="n">
        <f aca="false">COUNTIF('Cas de test'!$D$2:$D$25,"*"&amp;A21&amp;"*")</f>
        <v>1</v>
      </c>
      <c r="F21" s="21" t="s">
        <v>77</v>
      </c>
      <c r="G21" s="21"/>
    </row>
    <row r="22" customFormat="false" ht="15" hidden="false" customHeight="true" outlineLevel="0" collapsed="false">
      <c r="A22" s="10" t="s">
        <v>306</v>
      </c>
      <c r="B22" s="21" t="s">
        <v>307</v>
      </c>
      <c r="C22" s="11" t="n">
        <v>4</v>
      </c>
      <c r="D22" s="11" t="s">
        <v>292</v>
      </c>
      <c r="E22" s="11" t="n">
        <f aca="false">COUNTIF('Cas de test'!$D$2:$D$25,"*"&amp;A22&amp;"*")</f>
        <v>2</v>
      </c>
      <c r="F22" s="21" t="s">
        <v>308</v>
      </c>
      <c r="G22" s="21"/>
    </row>
    <row r="23" customFormat="false" ht="15" hidden="false" customHeight="true" outlineLevel="0" collapsed="false">
      <c r="A23" s="10" t="s">
        <v>309</v>
      </c>
      <c r="B23" s="21" t="s">
        <v>310</v>
      </c>
      <c r="C23" s="11" t="n">
        <v>4</v>
      </c>
      <c r="D23" s="11" t="s">
        <v>292</v>
      </c>
      <c r="E23" s="11" t="n">
        <f aca="false">COUNTIF('Cas de test'!$D$2:$D$25,"*"&amp;A23&amp;"*")</f>
        <v>2</v>
      </c>
      <c r="F23" s="21" t="s">
        <v>311</v>
      </c>
      <c r="G23" s="21"/>
    </row>
    <row r="24" customFormat="false" ht="15" hidden="false" customHeight="true" outlineLevel="0" collapsed="false">
      <c r="A24" s="10" t="s">
        <v>312</v>
      </c>
      <c r="B24" s="21" t="s">
        <v>313</v>
      </c>
      <c r="C24" s="11" t="n">
        <v>3</v>
      </c>
      <c r="D24" s="11" t="s">
        <v>292</v>
      </c>
      <c r="E24" s="11" t="n">
        <f aca="false">COUNTIF('Cas de test'!$D$2:$D$25,"*"&amp;A24&amp;"*")</f>
        <v>1</v>
      </c>
      <c r="F24" s="21" t="s">
        <v>180</v>
      </c>
      <c r="G24" s="21"/>
    </row>
    <row r="25" customFormat="false" ht="15" hidden="false" customHeight="true" outlineLevel="0" collapsed="false">
      <c r="A25" s="10" t="s">
        <v>314</v>
      </c>
      <c r="B25" s="21" t="s">
        <v>315</v>
      </c>
      <c r="C25" s="11" t="n">
        <v>3</v>
      </c>
      <c r="D25" s="11" t="s">
        <v>292</v>
      </c>
      <c r="E25" s="11" t="n">
        <f aca="false">COUNTIF('Cas de test'!$D$2:$D$25,"*"&amp;A25&amp;"*")</f>
        <v>1</v>
      </c>
      <c r="F25" s="21" t="s">
        <v>180</v>
      </c>
      <c r="G25" s="21"/>
    </row>
    <row r="26" customFormat="false" ht="15" hidden="false" customHeight="true" outlineLevel="0" collapsed="false">
      <c r="A26" s="10" t="s">
        <v>70</v>
      </c>
      <c r="B26" s="21" t="s">
        <v>316</v>
      </c>
      <c r="C26" s="11" t="n">
        <v>3</v>
      </c>
      <c r="D26" s="11" t="s">
        <v>292</v>
      </c>
      <c r="E26" s="11" t="n">
        <f aca="false">COUNTIF('Cas de test'!$D$2:$D$25,"*"&amp;A26&amp;"*")</f>
        <v>1</v>
      </c>
      <c r="F26" s="21" t="s">
        <v>68</v>
      </c>
      <c r="G26" s="21"/>
    </row>
    <row r="27" customFormat="false" ht="27.75" hidden="false" customHeight="true" outlineLevel="0" collapsed="false">
      <c r="A27" s="10" t="s">
        <v>317</v>
      </c>
      <c r="B27" s="21" t="s">
        <v>318</v>
      </c>
      <c r="C27" s="11" t="n">
        <v>2</v>
      </c>
      <c r="D27" s="11" t="s">
        <v>319</v>
      </c>
      <c r="E27" s="11" t="n">
        <f aca="false">COUNTIF('Cas de test'!$D$2:$D$25,"*"&amp;A27&amp;"*")</f>
        <v>0</v>
      </c>
      <c r="F27" s="21" t="s">
        <v>320</v>
      </c>
      <c r="G27" s="21" t="s">
        <v>321</v>
      </c>
    </row>
    <row r="28" customFormat="false" ht="27.75" hidden="false" customHeight="true" outlineLevel="0" collapsed="false">
      <c r="A28" s="10" t="s">
        <v>322</v>
      </c>
      <c r="B28" s="21" t="s">
        <v>323</v>
      </c>
      <c r="C28" s="11" t="n">
        <v>2</v>
      </c>
      <c r="D28" s="11" t="s">
        <v>319</v>
      </c>
      <c r="E28" s="11" t="n">
        <f aca="false">COUNTIF('Cas de test'!$D$2:$D$25,"*"&amp;A28&amp;"*")</f>
        <v>0</v>
      </c>
      <c r="F28" s="21" t="s">
        <v>320</v>
      </c>
      <c r="G28" s="21" t="s">
        <v>324</v>
      </c>
    </row>
    <row r="30" customFormat="false" ht="15" hidden="false" customHeight="false" outlineLevel="0" collapsed="false">
      <c r="A30" s="4" t="s">
        <v>325</v>
      </c>
    </row>
    <row r="31" customFormat="false" ht="15" hidden="false" customHeight="false" outlineLevel="0" collapsed="false">
      <c r="A31" s="22" t="s">
        <v>326</v>
      </c>
      <c r="B31" s="22"/>
      <c r="C31" s="23" t="n">
        <f aca="false">COUNTIFS($D$5:$D$28,"Critique",$E$5:$E$28,0)</f>
        <v>0</v>
      </c>
    </row>
    <row r="32" customFormat="false" ht="15" hidden="false" customHeight="false" outlineLevel="0" collapsed="false">
      <c r="A32" s="22" t="s">
        <v>327</v>
      </c>
      <c r="B32" s="22"/>
      <c r="C32" s="23" t="n">
        <f aca="false">COUNTIFS($D$5:$D$28,"Élevé",$E$5:$E$28,0)</f>
        <v>0</v>
      </c>
    </row>
    <row r="33" customFormat="false" ht="15" hidden="false" customHeight="false" outlineLevel="0" collapsed="false">
      <c r="A33" s="22" t="s">
        <v>328</v>
      </c>
      <c r="B33" s="22"/>
      <c r="C33" s="23" t="n">
        <f aca="false">COUNTBLANK('Cas de test'!$D$2:$D$25)</f>
        <v>0</v>
      </c>
    </row>
    <row r="35" customFormat="false" ht="15" hidden="false" customHeight="false" outlineLevel="0" collapsed="false">
      <c r="A35" s="5" t="s">
        <v>329</v>
      </c>
    </row>
  </sheetData>
  <mergeCells count="3">
    <mergeCell ref="A31:B31"/>
    <mergeCell ref="A32:B32"/>
    <mergeCell ref="A33:B3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2026-10-12T21:12:58Z</dcterms:created>
  <dc:creator>openpyxl</dc:creator>
  <dc:description/>
  <dc:language>en-US</dc:language>
  <cp:lastModifiedBy/>
  <dcterms:modified xsi:type="dcterms:W3CDTF">2026-10-12T21:12:58Z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